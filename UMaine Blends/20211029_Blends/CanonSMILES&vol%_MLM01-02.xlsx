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mina/Desktop/"/>
    </mc:Choice>
  </mc:AlternateContent>
  <xr:revisionPtr revIDLastSave="0" documentId="13_ncr:1_{6195E6C8-9B4A-894C-93F0-636AB6721D1B}" xr6:coauthVersionLast="45" xr6:coauthVersionMax="45" xr10:uidLastSave="{00000000-0000-0000-0000-000000000000}"/>
  <bookViews>
    <workbookView xWindow="9820" yWindow="500" windowWidth="19900" windowHeight="15880" activeTab="1" xr2:uid="{9D267132-31D6-DA49-91EC-78F0300E1C51}"/>
  </bookViews>
  <sheets>
    <sheet name="MLM01" sheetId="1" r:id="rId1"/>
    <sheet name="MLM0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41" i="1" l="1"/>
  <c r="J40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E3" i="1"/>
  <c r="I3" i="1" s="1"/>
  <c r="E4" i="1"/>
  <c r="E5" i="1"/>
  <c r="I5" i="1" s="1"/>
  <c r="E6" i="1"/>
  <c r="I6" i="1" s="1"/>
  <c r="E7" i="1"/>
  <c r="I7" i="1" s="1"/>
  <c r="E8" i="1"/>
  <c r="E9" i="1"/>
  <c r="I9" i="1" s="1"/>
  <c r="E10" i="1"/>
  <c r="I10" i="1" s="1"/>
  <c r="E11" i="1"/>
  <c r="E12" i="1"/>
  <c r="I12" i="1" s="1"/>
  <c r="E13" i="1"/>
  <c r="I13" i="1" s="1"/>
  <c r="E14" i="1"/>
  <c r="I14" i="1" s="1"/>
  <c r="E15" i="1"/>
  <c r="E16" i="1"/>
  <c r="E17" i="1"/>
  <c r="I17" i="1" s="1"/>
  <c r="E18" i="1"/>
  <c r="I18" i="1" s="1"/>
  <c r="E19" i="1"/>
  <c r="E20" i="1"/>
  <c r="E21" i="1"/>
  <c r="I21" i="1" s="1"/>
  <c r="E22" i="1"/>
  <c r="I22" i="1" s="1"/>
  <c r="E23" i="1"/>
  <c r="E24" i="1"/>
  <c r="E25" i="1"/>
  <c r="I25" i="1" s="1"/>
  <c r="E26" i="1"/>
  <c r="I26" i="1" s="1"/>
  <c r="E27" i="1"/>
  <c r="E28" i="1"/>
  <c r="E29" i="1"/>
  <c r="I29" i="1" s="1"/>
  <c r="E30" i="1"/>
  <c r="I30" i="1" s="1"/>
  <c r="E31" i="1"/>
  <c r="E32" i="1"/>
  <c r="E33" i="1"/>
  <c r="E34" i="1"/>
  <c r="I34" i="1" s="1"/>
  <c r="E35" i="1"/>
  <c r="E36" i="1"/>
  <c r="I36" i="1" s="1"/>
  <c r="E37" i="1"/>
  <c r="I37" i="1" s="1"/>
  <c r="E38" i="1"/>
  <c r="I38" i="1" s="1"/>
  <c r="E40" i="1"/>
  <c r="I40" i="1" s="1"/>
  <c r="E41" i="1"/>
  <c r="I41" i="1" s="1"/>
  <c r="E2" i="1"/>
  <c r="I2" i="1" s="1"/>
  <c r="G42" i="1"/>
  <c r="I4" i="1"/>
  <c r="I8" i="1"/>
  <c r="I11" i="1"/>
  <c r="I15" i="1"/>
  <c r="I16" i="1"/>
  <c r="I19" i="1"/>
  <c r="I20" i="1"/>
  <c r="I23" i="1"/>
  <c r="I24" i="1"/>
  <c r="I27" i="1"/>
  <c r="I28" i="1"/>
  <c r="I31" i="1"/>
  <c r="I32" i="1"/>
  <c r="I33" i="1"/>
  <c r="I35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40" i="1"/>
  <c r="H41" i="1"/>
  <c r="H2" i="1"/>
  <c r="I42" i="2"/>
  <c r="G42" i="2"/>
  <c r="K42" i="2"/>
  <c r="H9" i="2"/>
  <c r="H10" i="2"/>
  <c r="H11" i="2"/>
  <c r="I11" i="2" s="1"/>
  <c r="H12" i="2"/>
  <c r="I12" i="2" s="1"/>
  <c r="H13" i="2"/>
  <c r="H14" i="2"/>
  <c r="H15" i="2"/>
  <c r="I15" i="2" s="1"/>
  <c r="H16" i="2"/>
  <c r="I16" i="2" s="1"/>
  <c r="H17" i="2"/>
  <c r="H18" i="2"/>
  <c r="H19" i="2"/>
  <c r="I19" i="2" s="1"/>
  <c r="H20" i="2"/>
  <c r="I20" i="2" s="1"/>
  <c r="H21" i="2"/>
  <c r="H22" i="2"/>
  <c r="H23" i="2"/>
  <c r="I23" i="2" s="1"/>
  <c r="H24" i="2"/>
  <c r="I24" i="2" s="1"/>
  <c r="H25" i="2"/>
  <c r="H26" i="2"/>
  <c r="H27" i="2"/>
  <c r="I27" i="2" s="1"/>
  <c r="H28" i="2"/>
  <c r="I28" i="2" s="1"/>
  <c r="H29" i="2"/>
  <c r="H30" i="2"/>
  <c r="H31" i="2"/>
  <c r="I31" i="2" s="1"/>
  <c r="H32" i="2"/>
  <c r="I32" i="2" s="1"/>
  <c r="H33" i="2"/>
  <c r="H34" i="2"/>
  <c r="H35" i="2"/>
  <c r="I35" i="2" s="1"/>
  <c r="H36" i="2"/>
  <c r="I36" i="2" s="1"/>
  <c r="H37" i="2"/>
  <c r="H38" i="2"/>
  <c r="H39" i="2"/>
  <c r="I39" i="2" s="1"/>
  <c r="H40" i="2"/>
  <c r="I40" i="2" s="1"/>
  <c r="H41" i="2"/>
  <c r="I4" i="2"/>
  <c r="I5" i="2"/>
  <c r="I6" i="2"/>
  <c r="I7" i="2"/>
  <c r="I8" i="2"/>
  <c r="I9" i="2"/>
  <c r="I10" i="2"/>
  <c r="J30" i="2" s="1"/>
  <c r="I13" i="2"/>
  <c r="I14" i="2"/>
  <c r="I17" i="2"/>
  <c r="I18" i="2"/>
  <c r="I21" i="2"/>
  <c r="I22" i="2"/>
  <c r="I25" i="2"/>
  <c r="I26" i="2"/>
  <c r="I29" i="2"/>
  <c r="I30" i="2"/>
  <c r="I33" i="2"/>
  <c r="I34" i="2"/>
  <c r="I37" i="2"/>
  <c r="I38" i="2"/>
  <c r="I41" i="2"/>
  <c r="I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2" i="2"/>
  <c r="H4" i="2"/>
  <c r="H5" i="2"/>
  <c r="H6" i="2"/>
  <c r="H7" i="2"/>
  <c r="H8" i="2"/>
  <c r="K40" i="1" l="1"/>
  <c r="K29" i="1"/>
  <c r="I42" i="1"/>
  <c r="K13" i="1"/>
  <c r="K5" i="1"/>
  <c r="K37" i="1"/>
  <c r="K38" i="1"/>
  <c r="K22" i="1"/>
  <c r="K9" i="1"/>
  <c r="K17" i="1"/>
  <c r="K33" i="1"/>
  <c r="K6" i="1"/>
  <c r="K2" i="1"/>
  <c r="K10" i="1"/>
  <c r="K18" i="1"/>
  <c r="K34" i="1"/>
  <c r="K41" i="1"/>
  <c r="K21" i="1"/>
  <c r="K3" i="1"/>
  <c r="K7" i="1"/>
  <c r="K11" i="1"/>
  <c r="K15" i="1"/>
  <c r="K19" i="1"/>
  <c r="K23" i="1"/>
  <c r="K27" i="1"/>
  <c r="K31" i="1"/>
  <c r="K35" i="1"/>
  <c r="K25" i="1"/>
  <c r="K4" i="1"/>
  <c r="K8" i="1"/>
  <c r="K12" i="1"/>
  <c r="K16" i="1"/>
  <c r="K20" i="1"/>
  <c r="K24" i="1"/>
  <c r="K28" i="1"/>
  <c r="K32" i="1"/>
  <c r="K36" i="1"/>
  <c r="K14" i="1"/>
  <c r="K26" i="1"/>
  <c r="K30" i="1"/>
  <c r="J40" i="2"/>
  <c r="K40" i="2" s="1"/>
  <c r="J18" i="2"/>
  <c r="K18" i="2" s="1"/>
  <c r="J6" i="2"/>
  <c r="K6" i="2" s="1"/>
  <c r="J14" i="2"/>
  <c r="J36" i="2"/>
  <c r="K36" i="2" s="1"/>
  <c r="J9" i="2"/>
  <c r="K9" i="2" s="1"/>
  <c r="J25" i="2"/>
  <c r="K25" i="2" s="1"/>
  <c r="K30" i="2"/>
  <c r="J39" i="2"/>
  <c r="K39" i="2" s="1"/>
  <c r="J13" i="2"/>
  <c r="K13" i="2" s="1"/>
  <c r="J2" i="2"/>
  <c r="K2" i="2" s="1"/>
  <c r="J17" i="2"/>
  <c r="K17" i="2" s="1"/>
  <c r="J35" i="2"/>
  <c r="K35" i="2" s="1"/>
  <c r="J5" i="2"/>
  <c r="K5" i="2" s="1"/>
  <c r="J21" i="2"/>
  <c r="K21" i="2" s="1"/>
  <c r="K14" i="2"/>
  <c r="J26" i="2"/>
  <c r="K26" i="2" s="1"/>
  <c r="J10" i="2"/>
  <c r="K10" i="2" s="1"/>
  <c r="J31" i="2"/>
  <c r="K31" i="2" s="1"/>
  <c r="J41" i="2"/>
  <c r="K41" i="2" s="1"/>
  <c r="J3" i="2"/>
  <c r="K3" i="2" s="1"/>
  <c r="J7" i="2"/>
  <c r="K7" i="2" s="1"/>
  <c r="J11" i="2"/>
  <c r="K11" i="2" s="1"/>
  <c r="J15" i="2"/>
  <c r="K15" i="2" s="1"/>
  <c r="J19" i="2"/>
  <c r="K19" i="2" s="1"/>
  <c r="J23" i="2"/>
  <c r="K23" i="2" s="1"/>
  <c r="J27" i="2"/>
  <c r="K27" i="2" s="1"/>
  <c r="J32" i="2"/>
  <c r="K32" i="2" s="1"/>
  <c r="J38" i="2"/>
  <c r="K38" i="2" s="1"/>
  <c r="J22" i="2"/>
  <c r="K22" i="2" s="1"/>
  <c r="J4" i="2"/>
  <c r="K4" i="2" s="1"/>
  <c r="J8" i="2"/>
  <c r="K8" i="2" s="1"/>
  <c r="J12" i="2"/>
  <c r="K12" i="2" s="1"/>
  <c r="J16" i="2"/>
  <c r="K16" i="2" s="1"/>
  <c r="J20" i="2"/>
  <c r="K20" i="2" s="1"/>
  <c r="J24" i="2"/>
  <c r="K24" i="2" s="1"/>
  <c r="J28" i="2"/>
  <c r="K28" i="2" s="1"/>
  <c r="J34" i="2"/>
  <c r="K34" i="2" s="1"/>
  <c r="J29" i="2"/>
  <c r="K29" i="2" s="1"/>
  <c r="J33" i="2"/>
  <c r="K33" i="2" s="1"/>
  <c r="J37" i="2"/>
  <c r="K37" i="2" s="1"/>
  <c r="K42" i="1" l="1"/>
  <c r="H3" i="2" l="1"/>
  <c r="I3" i="2" s="1"/>
  <c r="H2" i="2"/>
</calcChain>
</file>

<file path=xl/sharedStrings.xml><?xml version="1.0" encoding="utf-8"?>
<sst xmlns="http://schemas.openxmlformats.org/spreadsheetml/2006/main" count="183" uniqueCount="123">
  <si>
    <t>IUPAC Name</t>
  </si>
  <si>
    <t>Canonical SMILES</t>
  </si>
  <si>
    <t>2-propanone</t>
  </si>
  <si>
    <t>1-hydroxypropan-2-one</t>
  </si>
  <si>
    <t>propan-2-one</t>
  </si>
  <si>
    <t>2-methoxyacetic acid</t>
  </si>
  <si>
    <t>cyclopent-2-en-1-one</t>
  </si>
  <si>
    <t>2-methylcyclopent-2-en-1-one</t>
  </si>
  <si>
    <t>2,5-dibutylfuran</t>
  </si>
  <si>
    <t>furan-2-carbaldehyde</t>
  </si>
  <si>
    <t>1-(furan-2-yl)ethan-1-one</t>
  </si>
  <si>
    <t>3-ethyl-4-methylpent-3-en-2-one</t>
  </si>
  <si>
    <t>pentanoic acid</t>
  </si>
  <si>
    <t>dihydrofuran-2,5-dione</t>
  </si>
  <si>
    <t>octahydro-2,3'-bifuran</t>
  </si>
  <si>
    <t>dihydrofuran-2(3H)-one</t>
  </si>
  <si>
    <t>CCCCCC1OCCO1</t>
  </si>
  <si>
    <t>2-pentyl-1,3-dioxolane</t>
  </si>
  <si>
    <t>furan-2(5H)-one</t>
  </si>
  <si>
    <t>2-hydroxy-3-methylcyclopent-2-en-1-one</t>
  </si>
  <si>
    <t>2-oxo-2-phenylethyl 2-hydroxybenzoate</t>
  </si>
  <si>
    <t>2-methoxyphenol</t>
  </si>
  <si>
    <t>2-methoxy-4-methylphenol</t>
  </si>
  <si>
    <t>phenol</t>
  </si>
  <si>
    <t>4-ethyl-2-methoxyphenol</t>
  </si>
  <si>
    <t>p-cresol</t>
  </si>
  <si>
    <t>4-allyl-2-methoxyphenol</t>
  </si>
  <si>
    <t>4-ethyl-2-pentadecyl-1,3-dioxolane</t>
  </si>
  <si>
    <t>2-methoxy-4-propylphenol</t>
  </si>
  <si>
    <t>2-methoxy-5-vinylphenol</t>
  </si>
  <si>
    <t>4-propylphenol</t>
  </si>
  <si>
    <t>4-oxopentanoic acid</t>
  </si>
  <si>
    <t>1-(4-hydroxy-3-methoxyphenyl)ethan-1-one</t>
  </si>
  <si>
    <r>
      <t>(E</t>
    </r>
    <r>
      <rPr>
        <i/>
        <sz val="12"/>
        <color theme="1"/>
        <rFont val="Times New Roman"/>
        <family val="1"/>
      </rPr>
      <t>)</t>
    </r>
    <r>
      <rPr>
        <sz val="12"/>
        <color theme="1"/>
        <rFont val="Times New Roman"/>
        <family val="1"/>
      </rPr>
      <t>-2-methoxy-4-(prop-1-en-1-yl)phenol</t>
    </r>
  </si>
  <si>
    <t>methacrylic anhydride</t>
  </si>
  <si>
    <t>5-(hydroxymethyl)furan-2-carbaldehyde</t>
  </si>
  <si>
    <t>2-methoxy-4-vinylphenol</t>
  </si>
  <si>
    <t>1-(4-hydroxy-3-methoxyphenyl)propan-2-one</t>
  </si>
  <si>
    <t>1,2-dihydroxybenzene</t>
  </si>
  <si>
    <t>4-methylbenzene-1,2-diol</t>
  </si>
  <si>
    <t>2,9-dimethylspiro[5.5]undecane</t>
  </si>
  <si>
    <t>2-(4-hydroxy-3-methoxyphenyl)acetic acid</t>
  </si>
  <si>
    <t>CC(=O)CO</t>
  </si>
  <si>
    <t>CC(=O)C</t>
  </si>
  <si>
    <t>COCC(=O)O</t>
  </si>
  <si>
    <t>C1CC(=O)C=C1</t>
  </si>
  <si>
    <r>
      <t>3,5,7-trihydroxy-2-(4-hydroxyphenyl)-4</t>
    </r>
    <r>
      <rPr>
        <i/>
        <sz val="12"/>
        <color rgb="FF000000"/>
        <rFont val="Times New Roman"/>
        <family val="1"/>
      </rPr>
      <t>H</t>
    </r>
    <r>
      <rPr>
        <sz val="12"/>
        <color rgb="FF000000"/>
        <rFont val="Times New Roman"/>
        <family val="1"/>
      </rPr>
      <t>-chromen-4-one</t>
    </r>
  </si>
  <si>
    <t>CC1=CCCC1=O</t>
  </si>
  <si>
    <t>CCCCC1=CC=C(O1)CCCC</t>
  </si>
  <si>
    <t>C1=COC(=C1)C=O</t>
  </si>
  <si>
    <t>CC(=O)C1=CC=CO1</t>
  </si>
  <si>
    <t>CCC(=C(C)C)C(=O)C</t>
  </si>
  <si>
    <t>CCCCC(=O)O</t>
  </si>
  <si>
    <t>C1CC(=O)OC1=O</t>
  </si>
  <si>
    <t>C1CC(OC1)C2CCOC2</t>
  </si>
  <si>
    <t>C1CC(=O)OC1</t>
  </si>
  <si>
    <t>C1C=CC(=O)O1</t>
  </si>
  <si>
    <t>CC1=C(C(=O)CC1)O</t>
  </si>
  <si>
    <t>C1=CC=C(C=C1)C(=O)COC(=O)C2=CC=CC=C2O</t>
  </si>
  <si>
    <t>COC1=CC=CC=C1O</t>
  </si>
  <si>
    <t>CC1=CC(=C(C=C1)O)OC</t>
  </si>
  <si>
    <t>C1=CC=C(C=C1)O</t>
  </si>
  <si>
    <t>CCC1=CC(=C(C=C1)O)OC</t>
  </si>
  <si>
    <t>CC1=CC=C(C=C1)O</t>
  </si>
  <si>
    <t>CCCC1=CC(=C(C=C1)O)OC</t>
  </si>
  <si>
    <t>COC1=C(C=CC(=C1)CC=C)O</t>
  </si>
  <si>
    <t>CCCCCCCCCCCCCCCC1OCC(O1)CC</t>
  </si>
  <si>
    <t>COC1=C(C=C(C=C1)C=C)O</t>
  </si>
  <si>
    <t>CCCC1=CC=C(C=C1)O</t>
  </si>
  <si>
    <t>CC(=O)CCC(=O)O</t>
  </si>
  <si>
    <t>CC=CC1=CC(=C(C=C1)O)OC</t>
  </si>
  <si>
    <t>CC(=C)C(=O)OC(=O)C(=C)C</t>
  </si>
  <si>
    <t>C1=C(OC(=C1)C=O)CO</t>
  </si>
  <si>
    <t>COC1=C(C=CC(=C1)C=C)O</t>
  </si>
  <si>
    <t>CC(=O)C1=CC(=C(C=C1)O)OC</t>
  </si>
  <si>
    <t>CC(=O)CC1=CC(=C(C=C1)O)OC</t>
  </si>
  <si>
    <t>C1=CC=C(C(=C1)O)O</t>
  </si>
  <si>
    <t>CC1CCC2(CCCC(C2)C)CC1</t>
  </si>
  <si>
    <t>CC1=CC(=C(C=C1)O)O</t>
  </si>
  <si>
    <t>COC1=C(C=CC(=C1)CC(=O)O)O</t>
  </si>
  <si>
    <t>C1=CC(=CC=C1C2=C(C(=O)C3=C(C=C(C=C3O2)O)O)O)O</t>
  </si>
  <si>
    <t>MW (g/mol)</t>
  </si>
  <si>
    <t>Mass (g)</t>
  </si>
  <si>
    <t>IUPAC NAME</t>
  </si>
  <si>
    <t>methylcyclopentane</t>
  </si>
  <si>
    <t>CC1CCCC1</t>
  </si>
  <si>
    <t>3,6-dimethyl-1,4-dioxane-2,5-dione</t>
  </si>
  <si>
    <t>2-methylcyclopentan-1-one</t>
  </si>
  <si>
    <t>(tetrahydrofuran-2-yl)methanol</t>
  </si>
  <si>
    <t>5-methylfuran-2-carbaldehyde</t>
  </si>
  <si>
    <t>methyl 3-ethylpent-2-enoate</t>
  </si>
  <si>
    <t>ethyl 2-methylpentanoate</t>
  </si>
  <si>
    <t>4-isopropoxybutan-1-ol</t>
  </si>
  <si>
    <t>vinyl acetate</t>
  </si>
  <si>
    <t>palmitic acid</t>
  </si>
  <si>
    <t>CC1C(=O)OC(C(=O)O1)C</t>
  </si>
  <si>
    <t>CC1CCCC1=O</t>
  </si>
  <si>
    <t>C1CCOC(C1)CO</t>
  </si>
  <si>
    <t>C1CC(OC1)CO</t>
  </si>
  <si>
    <t>CC1=CC=C(O1)C=O</t>
  </si>
  <si>
    <t>CCC(=CC(=O)OC)CC</t>
  </si>
  <si>
    <t>CCC=CCCCCC=O</t>
  </si>
  <si>
    <t>CCCC(C)C(=O)OCC</t>
  </si>
  <si>
    <t>O=C(OCC=CC)CCC(=O)OCC=CC</t>
  </si>
  <si>
    <t>CC(C)OCCCCO</t>
  </si>
  <si>
    <t>CC(=O)OC=C</t>
  </si>
  <si>
    <t>CCCCCCCCCCCCCCCC(=O)O</t>
  </si>
  <si>
    <t>1,1-Diisobutoxy-butane</t>
  </si>
  <si>
    <t>CCCC(OCC(C)C)OCC(C)C</t>
  </si>
  <si>
    <r>
      <t>(tetrahydro-2</t>
    </r>
    <r>
      <rPr>
        <i/>
        <sz val="12"/>
        <color rgb="FF000000"/>
        <rFont val="Times New Roman"/>
        <family val="1"/>
      </rPr>
      <t>H</t>
    </r>
    <r>
      <rPr>
        <sz val="12"/>
        <color rgb="FF000000"/>
        <rFont val="Times New Roman"/>
        <family val="1"/>
      </rPr>
      <t>-pyran-2-yl)methanol</t>
    </r>
  </si>
  <si>
    <r>
      <t>furan-2(5</t>
    </r>
    <r>
      <rPr>
        <i/>
        <sz val="12"/>
        <color rgb="FF000000"/>
        <rFont val="Times New Roman"/>
        <family val="1"/>
      </rPr>
      <t>H</t>
    </r>
    <r>
      <rPr>
        <sz val="12"/>
        <color rgb="FF000000"/>
        <rFont val="Times New Roman"/>
        <family val="1"/>
      </rPr>
      <t>)-one</t>
    </r>
  </si>
  <si>
    <r>
      <t>(</t>
    </r>
    <r>
      <rPr>
        <i/>
        <sz val="12"/>
        <color rgb="FF000000"/>
        <rFont val="Times New Roman"/>
        <family val="1"/>
      </rPr>
      <t>Z</t>
    </r>
    <r>
      <rPr>
        <sz val="12"/>
        <color rgb="FF000000"/>
        <rFont val="Times New Roman"/>
        <family val="1"/>
      </rPr>
      <t>)-non-6-enal</t>
    </r>
  </si>
  <si>
    <r>
      <t>di((</t>
    </r>
    <r>
      <rPr>
        <i/>
        <sz val="12"/>
        <color rgb="FF000000"/>
        <rFont val="Times New Roman"/>
        <family val="1"/>
      </rPr>
      <t>E</t>
    </r>
    <r>
      <rPr>
        <sz val="12"/>
        <color rgb="FF000000"/>
        <rFont val="Times New Roman"/>
        <family val="1"/>
      </rPr>
      <t>)-but-2-en-1-yl) succinate</t>
    </r>
  </si>
  <si>
    <r>
      <t>(</t>
    </r>
    <r>
      <rPr>
        <i/>
        <sz val="12"/>
        <color rgb="FF000000"/>
        <rFont val="Times New Roman"/>
        <family val="1"/>
      </rPr>
      <t>E</t>
    </r>
    <r>
      <rPr>
        <sz val="12"/>
        <color rgb="FF000000"/>
        <rFont val="Times New Roman"/>
        <family val="1"/>
      </rPr>
      <t>)-2-methoxy-4-(prop-1-en-1-yl)phenol</t>
    </r>
  </si>
  <si>
    <t>Compound Volume (L)</t>
  </si>
  <si>
    <t xml:space="preserve">Total Volume (L) </t>
  </si>
  <si>
    <t>Density at RT, 20-25 C (g/mL)</t>
  </si>
  <si>
    <t>Density at RT, 20-25 C (g/L)</t>
  </si>
  <si>
    <t>SUM</t>
  </si>
  <si>
    <t>Final Product M (mol/L)</t>
  </si>
  <si>
    <r>
      <t>(1</t>
    </r>
    <r>
      <rPr>
        <i/>
        <sz val="12"/>
        <color rgb="FFFF0000"/>
        <rFont val="Times New Roman"/>
        <family val="1"/>
      </rPr>
      <t>R</t>
    </r>
    <r>
      <rPr>
        <sz val="12"/>
        <color rgb="FFFF0000"/>
        <rFont val="Times New Roman"/>
        <family val="1"/>
      </rPr>
      <t>,5</t>
    </r>
    <r>
      <rPr>
        <i/>
        <sz val="12"/>
        <color rgb="FFFF0000"/>
        <rFont val="Times New Roman"/>
        <family val="1"/>
      </rPr>
      <t>S</t>
    </r>
    <r>
      <rPr>
        <sz val="12"/>
        <color rgb="FFFF0000"/>
        <rFont val="Times New Roman"/>
        <family val="1"/>
      </rPr>
      <t>,6</t>
    </r>
    <r>
      <rPr>
        <i/>
        <sz val="12"/>
        <color rgb="FFFF0000"/>
        <rFont val="Times New Roman"/>
        <family val="1"/>
      </rPr>
      <t>S</t>
    </r>
    <r>
      <rPr>
        <sz val="12"/>
        <color rgb="FFFF0000"/>
        <rFont val="Times New Roman"/>
        <family val="1"/>
      </rPr>
      <t>,7</t>
    </r>
    <r>
      <rPr>
        <i/>
        <sz val="12"/>
        <color rgb="FFFF0000"/>
        <rFont val="Times New Roman"/>
        <family val="1"/>
      </rPr>
      <t>r</t>
    </r>
    <r>
      <rPr>
        <sz val="12"/>
        <color rgb="FFFF0000"/>
        <rFont val="Times New Roman"/>
        <family val="1"/>
      </rPr>
      <t>,8</t>
    </r>
    <r>
      <rPr>
        <i/>
        <sz val="12"/>
        <color rgb="FFFF0000"/>
        <rFont val="Times New Roman"/>
        <family val="1"/>
      </rPr>
      <t>R</t>
    </r>
    <r>
      <rPr>
        <sz val="12"/>
        <color rgb="FFFF0000"/>
        <rFont val="Times New Roman"/>
        <family val="1"/>
      </rPr>
      <t>)-3-oxabicyclo[3.3.1]nonane-6,7,8-triol</t>
    </r>
  </si>
  <si>
    <t>Compound</t>
  </si>
  <si>
    <t>Vol% of Final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</si>
</sst>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"/>
  </numFmts>
  <fonts count="12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2"/>
      <color rgb="FF212121"/>
      <name val="Times New Roman"/>
      <family val="1"/>
    </font>
    <font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color rgb="FFFF0000"/>
      <name val="Times New Roman"/>
      <family val="1"/>
    </font>
    <font>
      <i/>
      <sz val="12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/>
    <xf numFmtId="0" fontId="4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7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168" fontId="7" fillId="0" borderId="0" xfId="0" applyNumberFormat="1" applyFont="1" applyAlignment="1">
      <alignment horizontal="center"/>
    </xf>
    <xf numFmtId="168" fontId="0" fillId="0" borderId="0" xfId="0" applyNumberFormat="1" applyAlignment="1">
      <alignment horizontal="center"/>
    </xf>
    <xf numFmtId="168" fontId="4" fillId="0" borderId="0" xfId="0" applyNumberFormat="1" applyFont="1" applyAlignment="1">
      <alignment horizontal="center"/>
    </xf>
    <xf numFmtId="168" fontId="5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/>
    <xf numFmtId="0" fontId="10" fillId="2" borderId="0" xfId="0" applyFont="1" applyFill="1" applyAlignment="1">
      <alignment horizontal="center"/>
    </xf>
    <xf numFmtId="168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C2D3B-40CC-294A-AF24-A3C087133C49}">
  <dimension ref="A1:N42"/>
  <sheetViews>
    <sheetView topLeftCell="D1" zoomScale="81" workbookViewId="0">
      <pane ySplit="1" topLeftCell="A5" activePane="bottomLeft" state="frozen"/>
      <selection activeCell="B1" sqref="B1"/>
      <selection pane="bottomLeft" activeCell="L9" sqref="L9"/>
    </sheetView>
  </sheetViews>
  <sheetFormatPr baseColWidth="10" defaultRowHeight="16" x14ac:dyDescent="0.2"/>
  <cols>
    <col min="1" max="1" width="10.83203125" style="5"/>
    <col min="2" max="2" width="38.33203125" style="5" customWidth="1"/>
    <col min="3" max="3" width="43.83203125" style="5" customWidth="1"/>
    <col min="4" max="4" width="27" customWidth="1"/>
    <col min="5" max="5" width="26.6640625" customWidth="1"/>
    <col min="6" max="6" width="12.33203125" style="5" customWidth="1"/>
    <col min="7" max="7" width="22.5" style="5" customWidth="1"/>
    <col min="8" max="8" width="15.33203125" customWidth="1"/>
    <col min="9" max="9" width="27.33203125" customWidth="1"/>
    <col min="10" max="10" width="27" customWidth="1"/>
    <col min="11" max="11" width="22.1640625" customWidth="1"/>
    <col min="14" max="14" width="16" customWidth="1"/>
  </cols>
  <sheetData>
    <row r="1" spans="1:11" s="4" customFormat="1" x14ac:dyDescent="0.2">
      <c r="A1" s="4" t="s">
        <v>121</v>
      </c>
      <c r="B1" s="4" t="s">
        <v>0</v>
      </c>
      <c r="C1" s="9" t="s">
        <v>1</v>
      </c>
      <c r="D1" s="4" t="s">
        <v>116</v>
      </c>
      <c r="E1" s="4" t="s">
        <v>117</v>
      </c>
      <c r="F1" s="4" t="s">
        <v>81</v>
      </c>
      <c r="G1" s="4" t="s">
        <v>119</v>
      </c>
      <c r="H1" s="4" t="s">
        <v>82</v>
      </c>
      <c r="I1" s="4" t="s">
        <v>114</v>
      </c>
      <c r="J1" s="4" t="s">
        <v>115</v>
      </c>
      <c r="K1" s="9" t="s">
        <v>122</v>
      </c>
    </row>
    <row r="2" spans="1:11" s="2" customFormat="1" x14ac:dyDescent="0.2">
      <c r="A2" s="5">
        <v>1</v>
      </c>
      <c r="B2" s="5" t="s">
        <v>2</v>
      </c>
      <c r="C2" s="11" t="s">
        <v>43</v>
      </c>
      <c r="D2" s="14">
        <v>0.78990000000000005</v>
      </c>
      <c r="E2" s="2">
        <f>D2*1000</f>
        <v>789.90000000000009</v>
      </c>
      <c r="F2" s="5">
        <v>58.08</v>
      </c>
      <c r="G2" s="5">
        <v>2.1001535503475232E-2</v>
      </c>
      <c r="H2" s="2">
        <f>F2*G2</f>
        <v>1.2197691820418415</v>
      </c>
      <c r="I2" s="2">
        <f>H2/E2</f>
        <v>1.5442070920899372E-3</v>
      </c>
      <c r="J2" s="2">
        <f>SUM(I2:I38,I40:I41)</f>
        <v>0.19970967190262659</v>
      </c>
      <c r="K2" s="10">
        <f>I2/J2*100</f>
        <v>0.77322599220074517</v>
      </c>
    </row>
    <row r="3" spans="1:11" s="2" customFormat="1" x14ac:dyDescent="0.2">
      <c r="A3" s="5">
        <v>2</v>
      </c>
      <c r="B3" s="5" t="s">
        <v>3</v>
      </c>
      <c r="C3" s="11" t="s">
        <v>42</v>
      </c>
      <c r="D3" s="15">
        <v>1.0589999999999999</v>
      </c>
      <c r="E3" s="2">
        <f t="shared" ref="E3:E41" si="0">D3*1000</f>
        <v>1059</v>
      </c>
      <c r="F3" s="5">
        <v>74.08</v>
      </c>
      <c r="G3" s="5">
        <v>4.5778787682713602E-2</v>
      </c>
      <c r="H3" s="2">
        <f t="shared" ref="H3:H41" si="1">F3*G3</f>
        <v>3.3912925915354237</v>
      </c>
      <c r="I3" s="2">
        <f t="shared" ref="I3:I41" si="2">H3/E3</f>
        <v>3.2023537219409101E-3</v>
      </c>
      <c r="J3" s="2">
        <f>SUM(I2:I38,I40:I41)</f>
        <v>0.19970967190262659</v>
      </c>
      <c r="K3" s="10">
        <f t="shared" ref="K3:K41" si="3">I3/J3*100</f>
        <v>1.6035045731296864</v>
      </c>
    </row>
    <row r="4" spans="1:11" s="2" customFormat="1" x14ac:dyDescent="0.2">
      <c r="A4" s="5">
        <v>3</v>
      </c>
      <c r="B4" s="5" t="s">
        <v>5</v>
      </c>
      <c r="C4" s="11" t="s">
        <v>44</v>
      </c>
      <c r="D4" s="15">
        <v>1.139</v>
      </c>
      <c r="E4" s="2">
        <f t="shared" si="0"/>
        <v>1139</v>
      </c>
      <c r="F4" s="5">
        <v>90.08</v>
      </c>
      <c r="G4" s="5">
        <v>0</v>
      </c>
      <c r="H4" s="2">
        <f t="shared" si="1"/>
        <v>0</v>
      </c>
      <c r="I4" s="2">
        <f t="shared" si="2"/>
        <v>0</v>
      </c>
      <c r="J4" s="2">
        <f>SUM(I2:I38,I40:I41)</f>
        <v>0.19970967190262659</v>
      </c>
      <c r="K4" s="10">
        <f t="shared" si="3"/>
        <v>0</v>
      </c>
    </row>
    <row r="5" spans="1:11" s="2" customFormat="1" x14ac:dyDescent="0.2">
      <c r="A5" s="5">
        <v>4</v>
      </c>
      <c r="B5" s="5" t="s">
        <v>6</v>
      </c>
      <c r="C5" s="11" t="s">
        <v>45</v>
      </c>
      <c r="D5" s="15">
        <v>1.004</v>
      </c>
      <c r="E5" s="2">
        <f t="shared" si="0"/>
        <v>1004</v>
      </c>
      <c r="F5" s="5">
        <v>82.1</v>
      </c>
      <c r="G5" s="5">
        <v>7.487347277636355E-3</v>
      </c>
      <c r="H5" s="2">
        <f t="shared" si="1"/>
        <v>0.6147112114939447</v>
      </c>
      <c r="I5" s="2">
        <f t="shared" si="2"/>
        <v>6.1226216284257441E-4</v>
      </c>
      <c r="J5" s="2">
        <f>SUM(I2:I38,I40:I41)</f>
        <v>0.19970967190262659</v>
      </c>
      <c r="K5" s="10">
        <f t="shared" si="3"/>
        <v>0.3065761197289924</v>
      </c>
    </row>
    <row r="6" spans="1:11" s="2" customFormat="1" x14ac:dyDescent="0.2">
      <c r="A6" s="5">
        <v>5</v>
      </c>
      <c r="B6" s="5" t="s">
        <v>7</v>
      </c>
      <c r="C6" s="11" t="s">
        <v>47</v>
      </c>
      <c r="D6" s="15">
        <v>0.97719999999999996</v>
      </c>
      <c r="E6" s="2">
        <f t="shared" si="0"/>
        <v>977.19999999999993</v>
      </c>
      <c r="F6" s="5">
        <v>96.13</v>
      </c>
      <c r="G6" s="5">
        <v>1.7164848390067471E-2</v>
      </c>
      <c r="H6" s="2">
        <f t="shared" si="1"/>
        <v>1.6500568757371858</v>
      </c>
      <c r="I6" s="2">
        <f t="shared" si="2"/>
        <v>1.688555951429785E-3</v>
      </c>
      <c r="J6" s="2">
        <f>SUM(I2:I38,I40:I41)</f>
        <v>0.19970967190262659</v>
      </c>
      <c r="K6" s="10">
        <f t="shared" si="3"/>
        <v>0.84550534550629197</v>
      </c>
    </row>
    <row r="7" spans="1:11" s="2" customFormat="1" x14ac:dyDescent="0.2">
      <c r="A7" s="5">
        <v>6</v>
      </c>
      <c r="B7" s="5" t="s">
        <v>8</v>
      </c>
      <c r="C7" s="11" t="s">
        <v>48</v>
      </c>
      <c r="D7" s="15">
        <v>0.86870000000000003</v>
      </c>
      <c r="E7" s="2">
        <f t="shared" si="0"/>
        <v>868.7</v>
      </c>
      <c r="F7" s="5">
        <v>180.29</v>
      </c>
      <c r="G7" s="5">
        <v>4.2603240423789226E-2</v>
      </c>
      <c r="H7" s="2">
        <f t="shared" si="1"/>
        <v>7.6809382160049591</v>
      </c>
      <c r="I7" s="2">
        <f t="shared" si="2"/>
        <v>8.8418766156382628E-3</v>
      </c>
      <c r="J7" s="2">
        <f>SUM(I2:I38,I40:I41)</f>
        <v>0.19970967190262659</v>
      </c>
      <c r="K7" s="10">
        <f t="shared" si="3"/>
        <v>4.427365250466857</v>
      </c>
    </row>
    <row r="8" spans="1:11" s="2" customFormat="1" x14ac:dyDescent="0.2">
      <c r="A8" s="5">
        <v>7</v>
      </c>
      <c r="B8" s="5" t="s">
        <v>9</v>
      </c>
      <c r="C8" s="11" t="s">
        <v>49</v>
      </c>
      <c r="D8" s="15">
        <v>1.1563000000000001</v>
      </c>
      <c r="E8" s="2">
        <f t="shared" si="0"/>
        <v>1156.3000000000002</v>
      </c>
      <c r="F8" s="5">
        <v>96.08</v>
      </c>
      <c r="G8" s="5">
        <v>6.2376431719858613E-2</v>
      </c>
      <c r="H8" s="2">
        <f t="shared" si="1"/>
        <v>5.9931275596440159</v>
      </c>
      <c r="I8" s="2">
        <f t="shared" si="2"/>
        <v>5.1830213263374687E-3</v>
      </c>
      <c r="J8" s="2">
        <f>SUM(I2:I38,I40:I41)</f>
        <v>0.19970967190262659</v>
      </c>
      <c r="K8" s="10">
        <f t="shared" si="3"/>
        <v>2.5952780738954795</v>
      </c>
    </row>
    <row r="9" spans="1:11" s="2" customFormat="1" x14ac:dyDescent="0.2">
      <c r="A9" s="5">
        <v>8</v>
      </c>
      <c r="B9" s="5" t="s">
        <v>10</v>
      </c>
      <c r="C9" s="11" t="s">
        <v>50</v>
      </c>
      <c r="D9" s="15">
        <v>1.097</v>
      </c>
      <c r="E9" s="2">
        <f t="shared" si="0"/>
        <v>1097</v>
      </c>
      <c r="F9" s="5">
        <v>110.11</v>
      </c>
      <c r="G9" s="5">
        <v>4.2129563687635492E-2</v>
      </c>
      <c r="H9" s="2">
        <f t="shared" si="1"/>
        <v>4.6388862576455443</v>
      </c>
      <c r="I9" s="2">
        <f t="shared" si="2"/>
        <v>4.2287021491755191E-3</v>
      </c>
      <c r="J9" s="2">
        <f>SUM(I2:I38,I40:I41)</f>
        <v>0.19970967190262659</v>
      </c>
      <c r="K9" s="10">
        <f t="shared" si="3"/>
        <v>2.1174248141759144</v>
      </c>
    </row>
    <row r="10" spans="1:11" s="2" customFormat="1" x14ac:dyDescent="0.2">
      <c r="A10" s="5">
        <v>9</v>
      </c>
      <c r="B10" s="5" t="s">
        <v>11</v>
      </c>
      <c r="C10" s="11" t="s">
        <v>51</v>
      </c>
      <c r="D10" s="15">
        <v>0.83599999999999997</v>
      </c>
      <c r="E10" s="2">
        <f t="shared" si="0"/>
        <v>836</v>
      </c>
      <c r="F10" s="5">
        <v>126.2</v>
      </c>
      <c r="G10" s="5">
        <v>3.3757628936351987E-2</v>
      </c>
      <c r="H10" s="2">
        <f t="shared" si="1"/>
        <v>4.2602127717676206</v>
      </c>
      <c r="I10" s="2">
        <f t="shared" si="2"/>
        <v>5.095948291588063E-3</v>
      </c>
      <c r="J10" s="2">
        <f>SUM(I2:I38,I40:I41)</f>
        <v>0.19970967190262659</v>
      </c>
      <c r="K10" s="10">
        <f t="shared" si="3"/>
        <v>2.5516782652733609</v>
      </c>
    </row>
    <row r="11" spans="1:11" s="2" customFormat="1" x14ac:dyDescent="0.2">
      <c r="A11" s="5">
        <v>10</v>
      </c>
      <c r="B11" s="5" t="s">
        <v>12</v>
      </c>
      <c r="C11" s="11" t="s">
        <v>52</v>
      </c>
      <c r="D11" s="15">
        <v>0.93899999999999995</v>
      </c>
      <c r="E11" s="2">
        <f t="shared" si="0"/>
        <v>939</v>
      </c>
      <c r="F11" s="5">
        <v>102.13</v>
      </c>
      <c r="G11" s="5">
        <v>3.2064596766929403E-2</v>
      </c>
      <c r="H11" s="2">
        <f t="shared" si="1"/>
        <v>3.2747572678064998</v>
      </c>
      <c r="I11" s="2">
        <f t="shared" si="2"/>
        <v>3.4874944279089455E-3</v>
      </c>
      <c r="J11" s="2">
        <f>SUM(I2:I38,I40:I41)</f>
        <v>0.19970967190262659</v>
      </c>
      <c r="K11" s="10">
        <f t="shared" si="3"/>
        <v>1.746282187879894</v>
      </c>
    </row>
    <row r="12" spans="1:11" s="2" customFormat="1" x14ac:dyDescent="0.2">
      <c r="A12" s="5">
        <v>11</v>
      </c>
      <c r="B12" s="5" t="s">
        <v>13</v>
      </c>
      <c r="C12" s="11" t="s">
        <v>53</v>
      </c>
      <c r="D12" s="15">
        <v>1.5029999999999999</v>
      </c>
      <c r="E12" s="2">
        <f t="shared" si="0"/>
        <v>1503</v>
      </c>
      <c r="F12" s="5">
        <v>100.07</v>
      </c>
      <c r="G12" s="5">
        <v>0.22645904718321708</v>
      </c>
      <c r="H12" s="2">
        <f t="shared" si="1"/>
        <v>22.661756851624531</v>
      </c>
      <c r="I12" s="2">
        <f t="shared" si="2"/>
        <v>1.5077682536011E-2</v>
      </c>
      <c r="J12" s="2">
        <f>SUM(I2:I38,I40:I41)</f>
        <v>0.19970967190262659</v>
      </c>
      <c r="K12" s="10">
        <f t="shared" si="3"/>
        <v>7.5498008646083496</v>
      </c>
    </row>
    <row r="13" spans="1:11" s="2" customFormat="1" x14ac:dyDescent="0.2">
      <c r="A13" s="5">
        <v>12</v>
      </c>
      <c r="B13" s="5" t="s">
        <v>14</v>
      </c>
      <c r="C13" s="11" t="s">
        <v>54</v>
      </c>
      <c r="D13" s="15">
        <v>1.0486</v>
      </c>
      <c r="E13" s="2">
        <f t="shared" si="0"/>
        <v>1048.5999999999999</v>
      </c>
      <c r="F13" s="5">
        <v>142.19999999999999</v>
      </c>
      <c r="G13" s="5">
        <v>4.4066485999966112E-2</v>
      </c>
      <c r="H13" s="2">
        <f t="shared" si="1"/>
        <v>6.2662543091951806</v>
      </c>
      <c r="I13" s="2">
        <f t="shared" si="2"/>
        <v>5.9758290188777234E-3</v>
      </c>
      <c r="J13" s="2">
        <f>SUM(I2:I38,I40:I41)</f>
        <v>0.19970967190262659</v>
      </c>
      <c r="K13" s="10">
        <f t="shared" si="3"/>
        <v>2.992258192578368</v>
      </c>
    </row>
    <row r="14" spans="1:11" s="2" customFormat="1" x14ac:dyDescent="0.2">
      <c r="A14" s="5">
        <v>13</v>
      </c>
      <c r="B14" s="5" t="s">
        <v>15</v>
      </c>
      <c r="C14" s="11" t="s">
        <v>55</v>
      </c>
      <c r="D14" s="15">
        <v>1.1297999999999999</v>
      </c>
      <c r="E14" s="2">
        <f t="shared" si="0"/>
        <v>1129.8</v>
      </c>
      <c r="F14" s="5">
        <v>86.09</v>
      </c>
      <c r="G14" s="5">
        <v>0.11738222798931357</v>
      </c>
      <c r="H14" s="2">
        <f t="shared" si="1"/>
        <v>10.105436007600005</v>
      </c>
      <c r="I14" s="2">
        <f t="shared" si="2"/>
        <v>8.9444468114710622E-3</v>
      </c>
      <c r="J14" s="2">
        <f>SUM(I2:I38,I40:I41)</f>
        <v>0.19970967190262659</v>
      </c>
      <c r="K14" s="10">
        <f t="shared" si="3"/>
        <v>4.4787249041359143</v>
      </c>
    </row>
    <row r="15" spans="1:11" s="2" customFormat="1" x14ac:dyDescent="0.2">
      <c r="A15" s="5">
        <v>14</v>
      </c>
      <c r="B15" s="5" t="s">
        <v>17</v>
      </c>
      <c r="C15" s="11" t="s">
        <v>16</v>
      </c>
      <c r="D15" s="15">
        <v>0.91300000000000003</v>
      </c>
      <c r="E15" s="2">
        <f t="shared" si="0"/>
        <v>913</v>
      </c>
      <c r="F15" s="5">
        <v>144.21</v>
      </c>
      <c r="G15" s="5">
        <v>5.216282292231404E-3</v>
      </c>
      <c r="H15" s="2">
        <f t="shared" si="1"/>
        <v>0.75224006936269083</v>
      </c>
      <c r="I15" s="2">
        <f t="shared" si="2"/>
        <v>8.2392121507414114E-4</v>
      </c>
      <c r="J15" s="2">
        <f>SUM(I2:I38,I40:I41)</f>
        <v>0.19970967190262659</v>
      </c>
      <c r="K15" s="10">
        <f t="shared" si="3"/>
        <v>0.41255949560413102</v>
      </c>
    </row>
    <row r="16" spans="1:11" s="2" customFormat="1" x14ac:dyDescent="0.2">
      <c r="A16" s="5">
        <v>15</v>
      </c>
      <c r="B16" s="5" t="s">
        <v>18</v>
      </c>
      <c r="C16" s="11" t="s">
        <v>56</v>
      </c>
      <c r="D16" s="15">
        <v>1.1930000000000001</v>
      </c>
      <c r="E16" s="2">
        <f t="shared" si="0"/>
        <v>1193</v>
      </c>
      <c r="F16" s="5">
        <v>84.07</v>
      </c>
      <c r="G16" s="5">
        <v>1.8186182481728701E-2</v>
      </c>
      <c r="H16" s="2">
        <f t="shared" si="1"/>
        <v>1.5289123612389317</v>
      </c>
      <c r="I16" s="2">
        <f t="shared" si="2"/>
        <v>1.2815694561935723E-3</v>
      </c>
      <c r="J16" s="2">
        <f>SUM(I2:I38,I40:I41)</f>
        <v>0.19970967190262659</v>
      </c>
      <c r="K16" s="10">
        <f t="shared" si="3"/>
        <v>0.64171626941454962</v>
      </c>
    </row>
    <row r="17" spans="1:14" s="2" customFormat="1" x14ac:dyDescent="0.2">
      <c r="A17" s="5">
        <v>16</v>
      </c>
      <c r="B17" s="5" t="s">
        <v>19</v>
      </c>
      <c r="C17" s="11" t="s">
        <v>57</v>
      </c>
      <c r="D17" s="15">
        <v>1.2250000000000001</v>
      </c>
      <c r="E17" s="2">
        <f t="shared" si="0"/>
        <v>1225</v>
      </c>
      <c r="F17" s="5">
        <v>112.13</v>
      </c>
      <c r="G17" s="5">
        <v>3.2044201810361675E-2</v>
      </c>
      <c r="H17" s="2">
        <f t="shared" si="1"/>
        <v>3.5931163489958546</v>
      </c>
      <c r="I17" s="2">
        <f t="shared" si="2"/>
        <v>2.9331562032619222E-3</v>
      </c>
      <c r="J17" s="2">
        <f>SUM(I2:I38,I40:I41)</f>
        <v>0.19970967190262659</v>
      </c>
      <c r="K17" s="10">
        <f t="shared" si="3"/>
        <v>1.4687101407347238</v>
      </c>
    </row>
    <row r="18" spans="1:14" s="2" customFormat="1" x14ac:dyDescent="0.2">
      <c r="A18" s="5">
        <v>17</v>
      </c>
      <c r="B18" s="5" t="s">
        <v>20</v>
      </c>
      <c r="C18" s="11" t="s">
        <v>58</v>
      </c>
      <c r="D18" s="15">
        <v>1.27</v>
      </c>
      <c r="E18" s="2">
        <f t="shared" si="0"/>
        <v>1270</v>
      </c>
      <c r="F18" s="5">
        <v>256.25</v>
      </c>
      <c r="G18" s="5">
        <v>5.4296350112189258E-2</v>
      </c>
      <c r="H18" s="2">
        <f t="shared" si="1"/>
        <v>13.913439716248497</v>
      </c>
      <c r="I18" s="2">
        <f t="shared" si="2"/>
        <v>1.0955464343502754E-2</v>
      </c>
      <c r="J18" s="2">
        <f>SUM(I2:I38,I40:I41)</f>
        <v>0.19970967190262659</v>
      </c>
      <c r="K18" s="10">
        <f t="shared" si="3"/>
        <v>5.4856954293352214</v>
      </c>
    </row>
    <row r="19" spans="1:14" s="2" customFormat="1" x14ac:dyDescent="0.2">
      <c r="A19" s="5">
        <v>18</v>
      </c>
      <c r="B19" s="5" t="s">
        <v>21</v>
      </c>
      <c r="C19" s="11" t="s">
        <v>59</v>
      </c>
      <c r="D19" s="15">
        <v>1.1287</v>
      </c>
      <c r="E19" s="2">
        <f t="shared" si="0"/>
        <v>1128.7</v>
      </c>
      <c r="F19" s="5">
        <v>124.14</v>
      </c>
      <c r="G19" s="5">
        <v>2.5838431728453605E-2</v>
      </c>
      <c r="H19" s="2">
        <f t="shared" si="1"/>
        <v>3.2075829147702306</v>
      </c>
      <c r="I19" s="2">
        <f t="shared" si="2"/>
        <v>2.8418383226457254E-3</v>
      </c>
      <c r="J19" s="2">
        <f>SUM(I2:I38,I40:I41)</f>
        <v>0.19970967190262659</v>
      </c>
      <c r="K19" s="10">
        <f t="shared" si="3"/>
        <v>1.4229848237051506</v>
      </c>
    </row>
    <row r="20" spans="1:14" s="2" customFormat="1" x14ac:dyDescent="0.2">
      <c r="A20" s="5">
        <v>19</v>
      </c>
      <c r="B20" s="5" t="s">
        <v>22</v>
      </c>
      <c r="C20" s="11" t="s">
        <v>60</v>
      </c>
      <c r="D20" s="15">
        <v>1.0919000000000001</v>
      </c>
      <c r="E20" s="2">
        <f t="shared" si="0"/>
        <v>1091.9000000000001</v>
      </c>
      <c r="F20" s="5">
        <v>138.16</v>
      </c>
      <c r="G20" s="5">
        <v>0.10784593557571588</v>
      </c>
      <c r="H20" s="2">
        <f t="shared" si="1"/>
        <v>14.899994459140906</v>
      </c>
      <c r="I20" s="2">
        <f t="shared" si="2"/>
        <v>1.364593319822411E-2</v>
      </c>
      <c r="J20" s="2">
        <f>SUM(I2:I38,I40:I41)</f>
        <v>0.19970967190262659</v>
      </c>
      <c r="K20" s="10">
        <f t="shared" si="3"/>
        <v>6.8328854923348548</v>
      </c>
    </row>
    <row r="21" spans="1:14" s="2" customFormat="1" x14ac:dyDescent="0.2">
      <c r="A21" s="5">
        <v>20</v>
      </c>
      <c r="B21" s="5" t="s">
        <v>23</v>
      </c>
      <c r="C21" s="11" t="s">
        <v>61</v>
      </c>
      <c r="D21" s="15">
        <v>1.071</v>
      </c>
      <c r="E21" s="2">
        <f t="shared" si="0"/>
        <v>1071</v>
      </c>
      <c r="F21" s="5">
        <v>94.11</v>
      </c>
      <c r="G21" s="5">
        <v>1.6685762167128151E-2</v>
      </c>
      <c r="H21" s="2">
        <f t="shared" si="1"/>
        <v>1.5702970775484304</v>
      </c>
      <c r="I21" s="2">
        <f t="shared" si="2"/>
        <v>1.4661970845456867E-3</v>
      </c>
      <c r="J21" s="2">
        <f>SUM(I2:I38,I40:I41)</f>
        <v>0.19970967190262659</v>
      </c>
      <c r="K21" s="10">
        <f t="shared" si="3"/>
        <v>0.73416428487277652</v>
      </c>
    </row>
    <row r="22" spans="1:14" s="2" customFormat="1" x14ac:dyDescent="0.2">
      <c r="A22" s="5">
        <v>21</v>
      </c>
      <c r="B22" s="5" t="s">
        <v>24</v>
      </c>
      <c r="C22" s="11" t="s">
        <v>62</v>
      </c>
      <c r="D22" s="15">
        <v>1.0509999999999999</v>
      </c>
      <c r="E22" s="2">
        <f t="shared" si="0"/>
        <v>1051</v>
      </c>
      <c r="F22" s="5">
        <v>152.19</v>
      </c>
      <c r="G22" s="5">
        <v>3.3226297953640932E-2</v>
      </c>
      <c r="H22" s="2">
        <f t="shared" si="1"/>
        <v>5.0567102855646135</v>
      </c>
      <c r="I22" s="2">
        <f t="shared" si="2"/>
        <v>4.8113323364078146E-3</v>
      </c>
      <c r="J22" s="2">
        <f>SUM(I2:I38,I40:I41)</f>
        <v>0.19970967190262659</v>
      </c>
      <c r="K22" s="10">
        <f t="shared" si="3"/>
        <v>2.4091634073454884</v>
      </c>
    </row>
    <row r="23" spans="1:14" s="2" customFormat="1" x14ac:dyDescent="0.2">
      <c r="A23" s="5">
        <v>22</v>
      </c>
      <c r="B23" s="5" t="s">
        <v>25</v>
      </c>
      <c r="C23" s="11" t="s">
        <v>63</v>
      </c>
      <c r="D23" s="15">
        <v>1.0185</v>
      </c>
      <c r="E23" s="2">
        <f t="shared" si="0"/>
        <v>1018.5</v>
      </c>
      <c r="F23" s="5">
        <v>108.14</v>
      </c>
      <c r="G23" s="5">
        <v>2.8092388032091561E-2</v>
      </c>
      <c r="H23" s="2">
        <f t="shared" si="1"/>
        <v>3.0379108417903815</v>
      </c>
      <c r="I23" s="2">
        <f t="shared" si="2"/>
        <v>2.9827303306729325E-3</v>
      </c>
      <c r="J23" s="2">
        <f>SUM(I2:I38,I40:I41)</f>
        <v>0.19970967190262659</v>
      </c>
      <c r="K23" s="10">
        <f t="shared" si="3"/>
        <v>1.4935332386541784</v>
      </c>
    </row>
    <row r="24" spans="1:14" x14ac:dyDescent="0.2">
      <c r="A24" s="5">
        <v>23</v>
      </c>
      <c r="B24" s="5" t="s">
        <v>28</v>
      </c>
      <c r="C24" s="11" t="s">
        <v>64</v>
      </c>
      <c r="D24" s="15">
        <v>0.95669999999999999</v>
      </c>
      <c r="E24" s="2">
        <f t="shared" si="0"/>
        <v>956.7</v>
      </c>
      <c r="F24" s="5">
        <v>166.22</v>
      </c>
      <c r="G24" s="5">
        <v>9.5771937238259844E-2</v>
      </c>
      <c r="H24" s="2">
        <f t="shared" si="1"/>
        <v>15.919211407743552</v>
      </c>
      <c r="I24" s="2">
        <f t="shared" si="2"/>
        <v>1.663971088924799E-2</v>
      </c>
      <c r="J24" s="2">
        <f>SUM(I2:I38,I40:I41)</f>
        <v>0.19970967190262659</v>
      </c>
      <c r="K24" s="10">
        <f t="shared" si="3"/>
        <v>8.331950441219039</v>
      </c>
      <c r="N24" s="2"/>
    </row>
    <row r="25" spans="1:14" x14ac:dyDescent="0.2">
      <c r="A25" s="5">
        <v>24</v>
      </c>
      <c r="B25" s="5" t="s">
        <v>26</v>
      </c>
      <c r="C25" s="11" t="s">
        <v>65</v>
      </c>
      <c r="D25" s="15">
        <v>1.0664</v>
      </c>
      <c r="E25" s="2">
        <f t="shared" si="0"/>
        <v>1066.4000000000001</v>
      </c>
      <c r="F25" s="5">
        <v>164.2</v>
      </c>
      <c r="G25" s="5">
        <v>9.6698223503542263E-2</v>
      </c>
      <c r="H25" s="2">
        <f t="shared" si="1"/>
        <v>15.877848299281638</v>
      </c>
      <c r="I25" s="2">
        <f t="shared" si="2"/>
        <v>1.4889205081846995E-2</v>
      </c>
      <c r="J25" s="2">
        <f>SUM(I2:I38,I40:I41)</f>
        <v>0.19970967190262659</v>
      </c>
      <c r="K25" s="10">
        <f t="shared" si="3"/>
        <v>7.4554251379004803</v>
      </c>
      <c r="N25" s="2"/>
    </row>
    <row r="26" spans="1:14" x14ac:dyDescent="0.2">
      <c r="A26" s="5">
        <v>25</v>
      </c>
      <c r="B26" s="5" t="s">
        <v>27</v>
      </c>
      <c r="C26" s="11" t="s">
        <v>66</v>
      </c>
      <c r="D26" s="15">
        <v>0.86599999999999999</v>
      </c>
      <c r="E26" s="2">
        <f t="shared" si="0"/>
        <v>866</v>
      </c>
      <c r="F26" s="5">
        <v>312.5</v>
      </c>
      <c r="G26" s="5">
        <v>2.5709916723157561E-2</v>
      </c>
      <c r="H26" s="2">
        <f t="shared" si="1"/>
        <v>8.0343489759867381</v>
      </c>
      <c r="I26" s="2">
        <f t="shared" si="2"/>
        <v>9.2775392332410372E-3</v>
      </c>
      <c r="J26" s="2">
        <f>SUM(I2:I38,I40:I41)</f>
        <v>0.19970967190262659</v>
      </c>
      <c r="K26" s="10">
        <f t="shared" si="3"/>
        <v>4.6455132317099457</v>
      </c>
      <c r="N26" s="2"/>
    </row>
    <row r="27" spans="1:14" x14ac:dyDescent="0.2">
      <c r="A27" s="5">
        <v>26</v>
      </c>
      <c r="B27" s="5" t="s">
        <v>29</v>
      </c>
      <c r="C27" s="11" t="s">
        <v>67</v>
      </c>
      <c r="D27" s="15">
        <v>1.089</v>
      </c>
      <c r="E27" s="2">
        <f t="shared" si="0"/>
        <v>1089</v>
      </c>
      <c r="F27" s="5">
        <v>150.16999999999999</v>
      </c>
      <c r="G27" s="5">
        <v>5.8185526281840601E-2</v>
      </c>
      <c r="H27" s="2">
        <f t="shared" si="1"/>
        <v>8.7377204817440024</v>
      </c>
      <c r="I27" s="2">
        <f t="shared" si="2"/>
        <v>8.0236184405362738E-3</v>
      </c>
      <c r="J27" s="2">
        <f>SUM(I2:I38,I40:I41)</f>
        <v>0.19970967190262659</v>
      </c>
      <c r="K27" s="10">
        <f t="shared" si="3"/>
        <v>4.0176413911732762</v>
      </c>
      <c r="N27" s="2"/>
    </row>
    <row r="28" spans="1:14" x14ac:dyDescent="0.2">
      <c r="A28" s="5">
        <v>27</v>
      </c>
      <c r="B28" s="5" t="s">
        <v>30</v>
      </c>
      <c r="C28" s="11" t="s">
        <v>68</v>
      </c>
      <c r="D28" s="15">
        <v>1.0089999999999999</v>
      </c>
      <c r="E28" s="2">
        <f t="shared" si="0"/>
        <v>1008.9999999999999</v>
      </c>
      <c r="F28" s="5">
        <v>136.19</v>
      </c>
      <c r="G28" s="5">
        <v>2.3656651324554925E-2</v>
      </c>
      <c r="H28" s="2">
        <f t="shared" si="1"/>
        <v>3.2217993438911354</v>
      </c>
      <c r="I28" s="2">
        <f t="shared" si="2"/>
        <v>3.1930617878009274E-3</v>
      </c>
      <c r="J28" s="2">
        <f>SUM(I2:I38,I40:I41)</f>
        <v>0.19970967190262659</v>
      </c>
      <c r="K28" s="10">
        <f t="shared" si="3"/>
        <v>1.5988518519813022</v>
      </c>
      <c r="N28" s="2"/>
    </row>
    <row r="29" spans="1:14" x14ac:dyDescent="0.2">
      <c r="A29" s="5">
        <v>28</v>
      </c>
      <c r="B29" s="5" t="s">
        <v>31</v>
      </c>
      <c r="C29" s="11" t="s">
        <v>69</v>
      </c>
      <c r="D29" s="15">
        <v>1.1447000000000001</v>
      </c>
      <c r="E29" s="2">
        <f t="shared" si="0"/>
        <v>1144.7</v>
      </c>
      <c r="F29" s="5">
        <v>116.11</v>
      </c>
      <c r="G29" s="5">
        <v>9.6025152521945628E-2</v>
      </c>
      <c r="H29" s="2">
        <f t="shared" si="1"/>
        <v>11.149480459323106</v>
      </c>
      <c r="I29" s="2">
        <f t="shared" si="2"/>
        <v>9.7400895075767501E-3</v>
      </c>
      <c r="J29" s="2">
        <f>SUM(I2:I38,I40:I41)</f>
        <v>0.19970967190262659</v>
      </c>
      <c r="K29" s="10">
        <f t="shared" si="3"/>
        <v>4.8771245852958858</v>
      </c>
      <c r="N29" s="2"/>
    </row>
    <row r="30" spans="1:14" x14ac:dyDescent="0.2">
      <c r="A30" s="5">
        <v>29</v>
      </c>
      <c r="B30" s="5" t="s">
        <v>33</v>
      </c>
      <c r="C30" s="11" t="s">
        <v>70</v>
      </c>
      <c r="D30" s="15">
        <v>1.0869</v>
      </c>
      <c r="E30" s="2">
        <f t="shared" si="0"/>
        <v>1086.9000000000001</v>
      </c>
      <c r="F30" s="5">
        <v>164.2</v>
      </c>
      <c r="G30" s="5">
        <v>5.4256938649481692E-3</v>
      </c>
      <c r="H30" s="2">
        <f t="shared" si="1"/>
        <v>0.89089893262448927</v>
      </c>
      <c r="I30" s="2">
        <f t="shared" si="2"/>
        <v>8.1966964083585354E-4</v>
      </c>
      <c r="J30" s="2">
        <f>SUM(I2:I38,I40:I41)</f>
        <v>0.19970967190262659</v>
      </c>
      <c r="K30" s="10">
        <f t="shared" si="3"/>
        <v>0.41043061812023995</v>
      </c>
      <c r="N30" s="2"/>
    </row>
    <row r="31" spans="1:14" x14ac:dyDescent="0.2">
      <c r="A31" s="5">
        <v>30</v>
      </c>
      <c r="B31" s="5" t="s">
        <v>34</v>
      </c>
      <c r="C31" s="11" t="s">
        <v>71</v>
      </c>
      <c r="D31" s="15">
        <v>1.0349999999999999</v>
      </c>
      <c r="E31" s="2">
        <f t="shared" si="0"/>
        <v>1035</v>
      </c>
      <c r="F31" s="5">
        <v>154.16</v>
      </c>
      <c r="G31" s="5">
        <v>2.2764779079733968E-2</v>
      </c>
      <c r="H31" s="2">
        <f t="shared" si="1"/>
        <v>3.5094183429317884</v>
      </c>
      <c r="I31" s="2">
        <f t="shared" si="2"/>
        <v>3.3907423603205685E-3</v>
      </c>
      <c r="J31" s="2">
        <f>SUM(I2:I38,I40:I41)</f>
        <v>0.19970967190262659</v>
      </c>
      <c r="K31" s="10">
        <f t="shared" si="3"/>
        <v>1.6978358273873733</v>
      </c>
      <c r="N31" s="2"/>
    </row>
    <row r="32" spans="1:14" x14ac:dyDescent="0.2">
      <c r="A32" s="5">
        <v>31</v>
      </c>
      <c r="B32" s="5" t="s">
        <v>35</v>
      </c>
      <c r="C32" s="11" t="s">
        <v>72</v>
      </c>
      <c r="D32" s="15">
        <v>1.29</v>
      </c>
      <c r="E32" s="2">
        <f t="shared" si="0"/>
        <v>1290</v>
      </c>
      <c r="F32" s="5">
        <v>126.11</v>
      </c>
      <c r="G32" s="5">
        <v>0.10525313128355149</v>
      </c>
      <c r="H32" s="2">
        <f t="shared" si="1"/>
        <v>13.273472386168677</v>
      </c>
      <c r="I32" s="2">
        <f t="shared" si="2"/>
        <v>1.0289513477650138E-2</v>
      </c>
      <c r="J32" s="2">
        <f>SUM(I2:I38,I40:I41)</f>
        <v>0.19970967190262659</v>
      </c>
      <c r="K32" s="10">
        <f t="shared" si="3"/>
        <v>5.1522359331034533</v>
      </c>
      <c r="N32" s="2"/>
    </row>
    <row r="33" spans="1:14" x14ac:dyDescent="0.2">
      <c r="A33" s="5">
        <v>32</v>
      </c>
      <c r="B33" s="5" t="s">
        <v>36</v>
      </c>
      <c r="C33" s="12" t="s">
        <v>73</v>
      </c>
      <c r="D33" s="15">
        <v>1.089</v>
      </c>
      <c r="E33" s="2">
        <f t="shared" si="0"/>
        <v>1089</v>
      </c>
      <c r="F33" s="5">
        <v>150.16999999999999</v>
      </c>
      <c r="G33" s="5">
        <v>0</v>
      </c>
      <c r="H33" s="2">
        <f t="shared" si="1"/>
        <v>0</v>
      </c>
      <c r="I33" s="2">
        <f t="shared" si="2"/>
        <v>0</v>
      </c>
      <c r="J33" s="2">
        <f>SUM(I2:I38,I40:I41)</f>
        <v>0.19970967190262659</v>
      </c>
      <c r="K33" s="10">
        <f t="shared" si="3"/>
        <v>0</v>
      </c>
      <c r="N33" s="2"/>
    </row>
    <row r="34" spans="1:14" x14ac:dyDescent="0.2">
      <c r="A34" s="5">
        <v>33</v>
      </c>
      <c r="B34" s="5" t="s">
        <v>32</v>
      </c>
      <c r="C34" s="11" t="s">
        <v>74</v>
      </c>
      <c r="D34" s="15">
        <v>1.1579999999999999</v>
      </c>
      <c r="E34" s="2">
        <f t="shared" si="0"/>
        <v>1158</v>
      </c>
      <c r="F34" s="5">
        <v>166.17</v>
      </c>
      <c r="G34" s="5">
        <v>3.2082046398863341E-2</v>
      </c>
      <c r="H34" s="2">
        <f t="shared" si="1"/>
        <v>5.3310736500991212</v>
      </c>
      <c r="I34" s="2">
        <f t="shared" si="2"/>
        <v>4.6036905441270478E-3</v>
      </c>
      <c r="J34" s="2">
        <f>SUM(I2:I38,I40:I41)</f>
        <v>0.19970967190262659</v>
      </c>
      <c r="K34" s="10">
        <f t="shared" si="3"/>
        <v>2.3051915814932045</v>
      </c>
      <c r="N34" s="2"/>
    </row>
    <row r="35" spans="1:14" x14ac:dyDescent="0.2">
      <c r="A35" s="5">
        <v>34</v>
      </c>
      <c r="B35" s="5" t="s">
        <v>37</v>
      </c>
      <c r="C35" s="11" t="s">
        <v>75</v>
      </c>
      <c r="D35" s="15">
        <v>1.1379999999999999</v>
      </c>
      <c r="E35" s="2">
        <f t="shared" si="0"/>
        <v>1138</v>
      </c>
      <c r="F35" s="5">
        <v>180.2</v>
      </c>
      <c r="G35" s="5">
        <v>2.0396774529466592E-2</v>
      </c>
      <c r="H35" s="2">
        <f t="shared" si="1"/>
        <v>3.6754987702098796</v>
      </c>
      <c r="I35" s="2">
        <f t="shared" si="2"/>
        <v>3.2297880230315284E-3</v>
      </c>
      <c r="J35" s="2">
        <f>SUM(I2:I38,I40:I41)</f>
        <v>0.19970967190262659</v>
      </c>
      <c r="K35" s="10">
        <f t="shared" si="3"/>
        <v>1.6172416649937176</v>
      </c>
      <c r="N35" s="2"/>
    </row>
    <row r="36" spans="1:14" x14ac:dyDescent="0.2">
      <c r="A36" s="5">
        <v>35</v>
      </c>
      <c r="B36" s="5" t="s">
        <v>38</v>
      </c>
      <c r="C36" s="11" t="s">
        <v>76</v>
      </c>
      <c r="D36" s="15">
        <v>1.3440000000000001</v>
      </c>
      <c r="E36" s="2">
        <f t="shared" si="0"/>
        <v>1344</v>
      </c>
      <c r="F36" s="5">
        <v>110.11</v>
      </c>
      <c r="G36" s="5">
        <v>2.3360368689344005E-2</v>
      </c>
      <c r="H36" s="2">
        <f t="shared" si="1"/>
        <v>2.5722101963836685</v>
      </c>
      <c r="I36" s="2">
        <f t="shared" si="2"/>
        <v>1.9138468723092772E-3</v>
      </c>
      <c r="J36" s="2">
        <f>SUM(I2:I38,I40:I41)</f>
        <v>0.19970967190262659</v>
      </c>
      <c r="K36" s="10">
        <f t="shared" si="3"/>
        <v>0.95831456437544038</v>
      </c>
      <c r="N36" s="2"/>
    </row>
    <row r="37" spans="1:14" x14ac:dyDescent="0.2">
      <c r="A37" s="5">
        <v>36</v>
      </c>
      <c r="B37" s="7" t="s">
        <v>40</v>
      </c>
      <c r="C37" s="11" t="s">
        <v>77</v>
      </c>
      <c r="D37" s="15">
        <v>0.86</v>
      </c>
      <c r="E37" s="2">
        <f t="shared" si="0"/>
        <v>860</v>
      </c>
      <c r="F37" s="5">
        <v>180.33</v>
      </c>
      <c r="G37" s="5">
        <v>1.1695684095709497E-2</v>
      </c>
      <c r="H37" s="2">
        <f t="shared" si="1"/>
        <v>2.1090827129792937</v>
      </c>
      <c r="I37" s="2">
        <f t="shared" si="2"/>
        <v>2.4524217592782485E-3</v>
      </c>
      <c r="J37" s="2">
        <f>SUM(I2:I38,I40:I41)</f>
        <v>0.19970967190262659</v>
      </c>
      <c r="K37" s="10">
        <f t="shared" si="3"/>
        <v>1.2279934846991225</v>
      </c>
      <c r="N37" s="2"/>
    </row>
    <row r="38" spans="1:14" x14ac:dyDescent="0.2">
      <c r="A38" s="5">
        <v>37</v>
      </c>
      <c r="B38" s="7" t="s">
        <v>39</v>
      </c>
      <c r="C38" s="11" t="s">
        <v>78</v>
      </c>
      <c r="D38" s="15">
        <v>1.1287</v>
      </c>
      <c r="E38" s="2">
        <f t="shared" si="0"/>
        <v>1128.7</v>
      </c>
      <c r="F38" s="5">
        <v>124.14</v>
      </c>
      <c r="G38" s="5">
        <v>5.1118378293509271E-2</v>
      </c>
      <c r="H38" s="2">
        <f t="shared" si="1"/>
        <v>6.3458354813562412</v>
      </c>
      <c r="I38" s="2">
        <f t="shared" si="2"/>
        <v>5.622251688984E-3</v>
      </c>
      <c r="J38" s="2">
        <f>SUM(I2:I38,I40:I41)</f>
        <v>0.19970967190262659</v>
      </c>
      <c r="K38" s="10">
        <f t="shared" si="3"/>
        <v>2.8152125209665702</v>
      </c>
      <c r="N38" s="2"/>
    </row>
    <row r="39" spans="1:14" s="24" customFormat="1" x14ac:dyDescent="0.2">
      <c r="A39" s="18">
        <v>38</v>
      </c>
      <c r="B39" s="19" t="s">
        <v>120</v>
      </c>
      <c r="C39" s="20"/>
      <c r="D39" s="21"/>
      <c r="E39" s="22"/>
      <c r="F39" s="18"/>
      <c r="G39" s="18">
        <v>7.1430094096531477E-2</v>
      </c>
      <c r="H39" s="22"/>
      <c r="I39" s="22"/>
      <c r="J39" s="22"/>
      <c r="K39" s="23"/>
      <c r="N39" s="22"/>
    </row>
    <row r="40" spans="1:14" x14ac:dyDescent="0.2">
      <c r="A40" s="5">
        <v>39</v>
      </c>
      <c r="B40" s="7" t="s">
        <v>41</v>
      </c>
      <c r="C40" s="11" t="s">
        <v>79</v>
      </c>
      <c r="D40" s="15">
        <v>1.3069999999999999</v>
      </c>
      <c r="E40" s="2">
        <f t="shared" si="0"/>
        <v>1307</v>
      </c>
      <c r="F40" s="5">
        <v>182.17</v>
      </c>
      <c r="G40" s="5">
        <v>0</v>
      </c>
      <c r="H40" s="2">
        <f t="shared" si="1"/>
        <v>0</v>
      </c>
      <c r="I40" s="2">
        <f t="shared" si="2"/>
        <v>0</v>
      </c>
      <c r="J40" s="2">
        <f>SUM(I2:I38,I40:I41)</f>
        <v>0.19970967190262659</v>
      </c>
      <c r="K40" s="10">
        <f t="shared" si="3"/>
        <v>0</v>
      </c>
      <c r="N40" s="2"/>
    </row>
    <row r="41" spans="1:14" x14ac:dyDescent="0.2">
      <c r="A41" s="5">
        <v>40</v>
      </c>
      <c r="B41" s="8" t="s">
        <v>46</v>
      </c>
      <c r="C41" s="13" t="s">
        <v>80</v>
      </c>
      <c r="D41" s="15">
        <v>1.6879999999999999</v>
      </c>
      <c r="E41" s="2">
        <f t="shared" si="0"/>
        <v>1688</v>
      </c>
      <c r="F41" s="5">
        <v>286.24</v>
      </c>
      <c r="G41" s="5">
        <v>0</v>
      </c>
      <c r="H41" s="2">
        <f t="shared" si="1"/>
        <v>0</v>
      </c>
      <c r="I41" s="2">
        <f t="shared" si="2"/>
        <v>0</v>
      </c>
      <c r="J41" s="2">
        <f>SUM(I2:I38,I40:I41)</f>
        <v>0.19970967190262659</v>
      </c>
      <c r="K41" s="10">
        <f t="shared" si="3"/>
        <v>0</v>
      </c>
      <c r="N41" s="2"/>
    </row>
    <row r="42" spans="1:14" x14ac:dyDescent="0.2">
      <c r="F42" s="4" t="s">
        <v>118</v>
      </c>
      <c r="G42" s="5">
        <f>SUM(G2:G41)</f>
        <v>1.7532779316394538</v>
      </c>
      <c r="I42" s="2">
        <f>SUM(I2:I41)</f>
        <v>0.19970967190262659</v>
      </c>
      <c r="K42" s="2">
        <f>SUM(K2:K41)</f>
        <v>99.999999999999986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85A1F-E5BD-BD4D-9669-FCA36678744B}">
  <dimension ref="A1:P42"/>
  <sheetViews>
    <sheetView tabSelected="1" topLeftCell="C1" zoomScale="84" workbookViewId="0">
      <pane ySplit="1" topLeftCell="A2" activePane="bottomLeft" state="frozen"/>
      <selection pane="bottomLeft" activeCell="K1" sqref="K1"/>
    </sheetView>
  </sheetViews>
  <sheetFormatPr baseColWidth="10" defaultRowHeight="16" x14ac:dyDescent="0.2"/>
  <cols>
    <col min="1" max="1" width="10.83203125" style="5"/>
    <col min="2" max="2" width="33.33203125" style="5" customWidth="1"/>
    <col min="3" max="3" width="38.83203125" style="5" customWidth="1"/>
    <col min="4" max="4" width="26.6640625" style="17" customWidth="1"/>
    <col min="5" max="5" width="28.1640625" style="5" customWidth="1"/>
    <col min="6" max="6" width="13.5" style="5" customWidth="1"/>
    <col min="7" max="7" width="23.33203125" style="5" customWidth="1"/>
    <col min="8" max="8" width="9" style="5" customWidth="1"/>
    <col min="9" max="9" width="20.1640625" style="5" customWidth="1"/>
    <col min="10" max="10" width="16.5" customWidth="1"/>
    <col min="11" max="11" width="23.33203125" customWidth="1"/>
    <col min="12" max="12" width="17.5" customWidth="1"/>
    <col min="15" max="15" width="54.83203125" style="5" customWidth="1"/>
  </cols>
  <sheetData>
    <row r="1" spans="1:15" s="4" customFormat="1" x14ac:dyDescent="0.2">
      <c r="A1" s="4" t="s">
        <v>121</v>
      </c>
      <c r="B1" s="4" t="s">
        <v>83</v>
      </c>
      <c r="C1" s="9" t="s">
        <v>1</v>
      </c>
      <c r="D1" s="16" t="s">
        <v>116</v>
      </c>
      <c r="E1" s="4" t="s">
        <v>117</v>
      </c>
      <c r="F1" s="4" t="s">
        <v>81</v>
      </c>
      <c r="G1" s="4" t="s">
        <v>119</v>
      </c>
      <c r="H1" s="4" t="s">
        <v>82</v>
      </c>
      <c r="I1" s="4" t="s">
        <v>114</v>
      </c>
      <c r="J1" s="4" t="s">
        <v>115</v>
      </c>
      <c r="K1" s="9" t="s">
        <v>122</v>
      </c>
    </row>
    <row r="2" spans="1:15" s="2" customFormat="1" x14ac:dyDescent="0.2">
      <c r="A2" s="5">
        <v>1</v>
      </c>
      <c r="B2" s="7" t="s">
        <v>84</v>
      </c>
      <c r="C2" s="11" t="s">
        <v>85</v>
      </c>
      <c r="D2" s="14">
        <v>0.74860000000000004</v>
      </c>
      <c r="E2" s="6">
        <f>D2*1000</f>
        <v>748.6</v>
      </c>
      <c r="F2" s="6">
        <v>84.16</v>
      </c>
      <c r="G2" s="5">
        <v>6.2160805516048934E-3</v>
      </c>
      <c r="H2" s="5">
        <f>G2*F2</f>
        <v>0.52314533922306783</v>
      </c>
      <c r="I2" s="5">
        <f>H2/E2</f>
        <v>6.9883160462605909E-4</v>
      </c>
      <c r="J2" s="2">
        <f>SUM(I2:I41)</f>
        <v>0.21046524613341558</v>
      </c>
      <c r="K2" s="10">
        <f>I2/J2*100</f>
        <v>0.33204133103432393</v>
      </c>
      <c r="O2" s="3"/>
    </row>
    <row r="3" spans="1:15" s="2" customFormat="1" x14ac:dyDescent="0.2">
      <c r="A3" s="5">
        <v>2</v>
      </c>
      <c r="B3" s="5" t="s">
        <v>4</v>
      </c>
      <c r="C3" s="11" t="s">
        <v>43</v>
      </c>
      <c r="D3" s="14">
        <v>0.78990000000000005</v>
      </c>
      <c r="E3" s="6">
        <f t="shared" ref="E3:E41" si="0">D3*1000</f>
        <v>789.90000000000009</v>
      </c>
      <c r="F3" s="6">
        <v>58.08</v>
      </c>
      <c r="G3" s="5">
        <v>3.1160860946700258E-2</v>
      </c>
      <c r="H3" s="5">
        <f>G3*F3</f>
        <v>1.8098228037843509</v>
      </c>
      <c r="I3" s="5">
        <f>H3/(D3*1000)</f>
        <v>2.2912049674444243E-3</v>
      </c>
      <c r="J3" s="2">
        <f>SUM(I2:I41)</f>
        <v>0.21046524613341558</v>
      </c>
      <c r="K3" s="10">
        <f t="shared" ref="K3:K41" si="1">I3/J3*100</f>
        <v>1.0886381526344788</v>
      </c>
      <c r="O3" s="5"/>
    </row>
    <row r="4" spans="1:15" s="2" customFormat="1" x14ac:dyDescent="0.2">
      <c r="A4" s="5">
        <v>3</v>
      </c>
      <c r="B4" s="7" t="s">
        <v>86</v>
      </c>
      <c r="C4" s="11" t="s">
        <v>95</v>
      </c>
      <c r="D4" s="14">
        <v>1.23</v>
      </c>
      <c r="E4" s="6">
        <f t="shared" si="0"/>
        <v>1230</v>
      </c>
      <c r="F4" s="6">
        <v>144.12</v>
      </c>
      <c r="G4" s="5">
        <v>6.6796559502108444E-2</v>
      </c>
      <c r="H4" s="5">
        <f>G4*F4</f>
        <v>9.6267201554438699</v>
      </c>
      <c r="I4" s="5">
        <f t="shared" ref="I4:I41" si="2">H4/(D4*1000)</f>
        <v>7.8266017523933896E-3</v>
      </c>
      <c r="J4" s="2">
        <f>SUM(I2:I41)</f>
        <v>0.21046524613341558</v>
      </c>
      <c r="K4" s="10">
        <f t="shared" si="1"/>
        <v>3.7187145603279537</v>
      </c>
      <c r="O4" s="5"/>
    </row>
    <row r="5" spans="1:15" s="2" customFormat="1" x14ac:dyDescent="0.2">
      <c r="A5" s="5">
        <v>4</v>
      </c>
      <c r="B5" s="7" t="s">
        <v>87</v>
      </c>
      <c r="C5" s="11" t="s">
        <v>96</v>
      </c>
      <c r="D5" s="14">
        <v>0.91890000000000005</v>
      </c>
      <c r="E5" s="6">
        <f t="shared" si="0"/>
        <v>918.90000000000009</v>
      </c>
      <c r="F5" s="5">
        <v>98.14</v>
      </c>
      <c r="G5" s="5">
        <v>3.845838437257066E-2</v>
      </c>
      <c r="H5" s="5">
        <f t="shared" ref="H5:H41" si="3">G5*F5</f>
        <v>3.7743058423240847</v>
      </c>
      <c r="I5" s="5">
        <f t="shared" si="2"/>
        <v>4.1074173928872396E-3</v>
      </c>
      <c r="J5" s="2">
        <f>SUM(I2:I41)</f>
        <v>0.21046524613341558</v>
      </c>
      <c r="K5" s="10">
        <f t="shared" si="1"/>
        <v>1.9515893803595086</v>
      </c>
      <c r="O5" s="5"/>
    </row>
    <row r="6" spans="1:15" s="2" customFormat="1" x14ac:dyDescent="0.2">
      <c r="A6" s="5">
        <v>5</v>
      </c>
      <c r="B6" s="7" t="s">
        <v>3</v>
      </c>
      <c r="C6" s="11" t="s">
        <v>42</v>
      </c>
      <c r="D6" s="14">
        <v>1.3140000000000001</v>
      </c>
      <c r="E6" s="6">
        <f t="shared" si="0"/>
        <v>1314</v>
      </c>
      <c r="F6" s="5">
        <v>74.08</v>
      </c>
      <c r="G6" s="5">
        <v>4.3540576437924972E-2</v>
      </c>
      <c r="H6" s="5">
        <f t="shared" si="3"/>
        <v>3.2254859025214819</v>
      </c>
      <c r="I6" s="5">
        <f t="shared" si="2"/>
        <v>2.4547076883725131E-3</v>
      </c>
      <c r="J6" s="2">
        <f>SUM(I2:I41)</f>
        <v>0.21046524613341558</v>
      </c>
      <c r="K6" s="10">
        <f t="shared" si="1"/>
        <v>1.166324480392575</v>
      </c>
      <c r="O6" s="5"/>
    </row>
    <row r="7" spans="1:15" s="2" customFormat="1" x14ac:dyDescent="0.2">
      <c r="A7" s="5">
        <v>6</v>
      </c>
      <c r="B7" s="7" t="s">
        <v>5</v>
      </c>
      <c r="C7" s="11" t="s">
        <v>44</v>
      </c>
      <c r="D7" s="14">
        <v>1.139</v>
      </c>
      <c r="E7" s="6">
        <f t="shared" si="0"/>
        <v>1139</v>
      </c>
      <c r="F7" s="5">
        <v>90.08</v>
      </c>
      <c r="G7" s="5">
        <v>2.3237412852306266E-2</v>
      </c>
      <c r="H7" s="5">
        <f t="shared" si="3"/>
        <v>2.0932261497357483</v>
      </c>
      <c r="I7" s="5">
        <f t="shared" si="2"/>
        <v>1.8377753729023252E-3</v>
      </c>
      <c r="J7" s="2">
        <f>SUM(I2:I41)</f>
        <v>0.21046524613341558</v>
      </c>
      <c r="K7" s="10">
        <f t="shared" si="1"/>
        <v>0.87319659975469055</v>
      </c>
      <c r="O7" s="5"/>
    </row>
    <row r="8" spans="1:15" s="2" customFormat="1" x14ac:dyDescent="0.2">
      <c r="A8" s="5">
        <v>7</v>
      </c>
      <c r="B8" s="7" t="s">
        <v>109</v>
      </c>
      <c r="C8" s="11" t="s">
        <v>97</v>
      </c>
      <c r="D8" s="14">
        <v>1.026</v>
      </c>
      <c r="E8" s="6">
        <f t="shared" si="0"/>
        <v>1026</v>
      </c>
      <c r="F8" s="5">
        <v>116.16</v>
      </c>
      <c r="G8" s="5">
        <v>2.3124347947905084E-2</v>
      </c>
      <c r="H8" s="5">
        <f t="shared" si="3"/>
        <v>2.6861242576286544</v>
      </c>
      <c r="I8" s="5">
        <f t="shared" si="2"/>
        <v>2.6180548319967392E-3</v>
      </c>
      <c r="J8" s="2">
        <f>SUM(I2:I41)</f>
        <v>0.21046524613341558</v>
      </c>
      <c r="K8" s="10">
        <f t="shared" si="1"/>
        <v>1.2439368874883665</v>
      </c>
      <c r="O8" s="5"/>
    </row>
    <row r="9" spans="1:15" s="2" customFormat="1" x14ac:dyDescent="0.2">
      <c r="A9" s="5">
        <v>8</v>
      </c>
      <c r="B9" s="7" t="s">
        <v>8</v>
      </c>
      <c r="C9" s="11" t="s">
        <v>48</v>
      </c>
      <c r="D9" s="14">
        <v>0.86870000000000003</v>
      </c>
      <c r="E9" s="6">
        <f t="shared" si="0"/>
        <v>868.7</v>
      </c>
      <c r="F9" s="5">
        <v>180.29</v>
      </c>
      <c r="G9" s="5">
        <v>4.6458192509714981E-2</v>
      </c>
      <c r="H9" s="5">
        <f t="shared" si="3"/>
        <v>8.3759475275765141</v>
      </c>
      <c r="I9" s="5">
        <f t="shared" si="2"/>
        <v>9.641933380426515E-3</v>
      </c>
      <c r="J9" s="2">
        <f>SUM(I2:I41)</f>
        <v>0.21046524613341558</v>
      </c>
      <c r="K9" s="10">
        <f t="shared" si="1"/>
        <v>4.581247287884489</v>
      </c>
      <c r="O9" s="5"/>
    </row>
    <row r="10" spans="1:15" s="2" customFormat="1" x14ac:dyDescent="0.2">
      <c r="A10" s="5">
        <v>9</v>
      </c>
      <c r="B10" s="7" t="s">
        <v>9</v>
      </c>
      <c r="C10" s="11" t="s">
        <v>49</v>
      </c>
      <c r="D10" s="14">
        <v>1.1563000000000001</v>
      </c>
      <c r="E10" s="6">
        <f t="shared" si="0"/>
        <v>1156.3000000000002</v>
      </c>
      <c r="F10" s="5">
        <v>96.08</v>
      </c>
      <c r="G10" s="5">
        <v>0</v>
      </c>
      <c r="H10" s="5">
        <f t="shared" si="3"/>
        <v>0</v>
      </c>
      <c r="I10" s="5">
        <f t="shared" si="2"/>
        <v>0</v>
      </c>
      <c r="J10" s="2">
        <f>SUM(I2:I41)</f>
        <v>0.21046524613341558</v>
      </c>
      <c r="K10" s="10">
        <f t="shared" si="1"/>
        <v>0</v>
      </c>
      <c r="O10" s="5"/>
    </row>
    <row r="11" spans="1:15" s="2" customFormat="1" x14ac:dyDescent="0.2">
      <c r="A11" s="5">
        <v>10</v>
      </c>
      <c r="B11" s="7" t="s">
        <v>88</v>
      </c>
      <c r="C11" s="11" t="s">
        <v>98</v>
      </c>
      <c r="D11" s="14">
        <v>1.0544</v>
      </c>
      <c r="E11" s="6">
        <f t="shared" si="0"/>
        <v>1054.4000000000001</v>
      </c>
      <c r="F11" s="5">
        <v>102.13</v>
      </c>
      <c r="G11" s="5">
        <v>5.0671423803899572E-2</v>
      </c>
      <c r="H11" s="5">
        <f t="shared" si="3"/>
        <v>5.175072513092263</v>
      </c>
      <c r="I11" s="5">
        <f t="shared" si="2"/>
        <v>4.9080733242529047E-3</v>
      </c>
      <c r="J11" s="2">
        <f>SUM(I2:I41)</f>
        <v>0.21046524613341558</v>
      </c>
      <c r="K11" s="10">
        <f t="shared" si="1"/>
        <v>2.3320113008784538</v>
      </c>
      <c r="O11" s="5"/>
    </row>
    <row r="12" spans="1:15" s="2" customFormat="1" x14ac:dyDescent="0.2">
      <c r="A12" s="5">
        <v>11</v>
      </c>
      <c r="B12" s="7" t="s">
        <v>89</v>
      </c>
      <c r="C12" s="11" t="s">
        <v>99</v>
      </c>
      <c r="D12" s="14">
        <v>1.1012</v>
      </c>
      <c r="E12" s="6">
        <f t="shared" si="0"/>
        <v>1101.2</v>
      </c>
      <c r="F12" s="5">
        <v>110.11</v>
      </c>
      <c r="G12" s="5">
        <v>1.2874587641110516E-3</v>
      </c>
      <c r="H12" s="5">
        <f t="shared" si="3"/>
        <v>0.1417620845162679</v>
      </c>
      <c r="I12" s="5">
        <f t="shared" si="2"/>
        <v>1.2873418499479466E-4</v>
      </c>
      <c r="J12" s="2">
        <f>SUM(I2:I41)</f>
        <v>0.21046524613341558</v>
      </c>
      <c r="K12" s="10">
        <f t="shared" si="1"/>
        <v>6.116648109835153E-2</v>
      </c>
      <c r="O12" s="5"/>
    </row>
    <row r="13" spans="1:15" s="2" customFormat="1" x14ac:dyDescent="0.2">
      <c r="A13" s="5">
        <v>12</v>
      </c>
      <c r="B13" s="7" t="s">
        <v>90</v>
      </c>
      <c r="C13" s="11" t="s">
        <v>100</v>
      </c>
      <c r="D13" s="14">
        <v>0.90200000000000002</v>
      </c>
      <c r="E13" s="6">
        <f t="shared" si="0"/>
        <v>902</v>
      </c>
      <c r="F13" s="6">
        <v>142.19999999999999</v>
      </c>
      <c r="G13" s="5">
        <v>2.1996237534111118E-2</v>
      </c>
      <c r="H13" s="5">
        <f t="shared" si="3"/>
        <v>3.1278649773506007</v>
      </c>
      <c r="I13" s="5">
        <f t="shared" si="2"/>
        <v>3.4676995314308211E-3</v>
      </c>
      <c r="J13" s="2">
        <f>SUM(I2:I41)</f>
        <v>0.21046524613341558</v>
      </c>
      <c r="K13" s="10">
        <f t="shared" si="1"/>
        <v>1.6476352248829811</v>
      </c>
      <c r="O13" s="5"/>
    </row>
    <row r="14" spans="1:15" s="2" customFormat="1" x14ac:dyDescent="0.2">
      <c r="A14" s="5">
        <v>13</v>
      </c>
      <c r="B14" s="7" t="s">
        <v>11</v>
      </c>
      <c r="C14" s="11" t="s">
        <v>51</v>
      </c>
      <c r="D14" s="14">
        <v>0.83599999999999997</v>
      </c>
      <c r="E14" s="6">
        <f t="shared" si="0"/>
        <v>836</v>
      </c>
      <c r="F14" s="5">
        <v>126.2</v>
      </c>
      <c r="G14" s="5">
        <v>1.6741809886028972E-2</v>
      </c>
      <c r="H14" s="5">
        <f t="shared" si="3"/>
        <v>2.1128164076168563</v>
      </c>
      <c r="I14" s="5">
        <f t="shared" si="2"/>
        <v>2.5272923536086797E-3</v>
      </c>
      <c r="J14" s="2">
        <f>SUM(I2:I41)</f>
        <v>0.21046524613341558</v>
      </c>
      <c r="K14" s="10">
        <f t="shared" si="1"/>
        <v>1.2008122006075099</v>
      </c>
      <c r="O14" s="5"/>
    </row>
    <row r="15" spans="1:15" s="2" customFormat="1" x14ac:dyDescent="0.2">
      <c r="A15" s="5">
        <v>14</v>
      </c>
      <c r="B15" s="7" t="s">
        <v>14</v>
      </c>
      <c r="C15" s="11" t="s">
        <v>54</v>
      </c>
      <c r="D15" s="14">
        <v>1.0486</v>
      </c>
      <c r="E15" s="6">
        <f t="shared" si="0"/>
        <v>1048.5999999999999</v>
      </c>
      <c r="F15" s="5">
        <v>142.19999999999999</v>
      </c>
      <c r="G15" s="5">
        <v>9.0692383792097694E-2</v>
      </c>
      <c r="H15" s="5">
        <f t="shared" si="3"/>
        <v>12.896456975236291</v>
      </c>
      <c r="I15" s="5">
        <f t="shared" si="2"/>
        <v>1.2298738294141038E-2</v>
      </c>
      <c r="J15" s="2">
        <f>SUM(I2:I41)</f>
        <v>0.21046524613341558</v>
      </c>
      <c r="K15" s="10">
        <f t="shared" si="1"/>
        <v>5.8435958050502892</v>
      </c>
      <c r="O15" s="5"/>
    </row>
    <row r="16" spans="1:15" s="2" customFormat="1" x14ac:dyDescent="0.2">
      <c r="A16" s="5">
        <v>15</v>
      </c>
      <c r="B16" s="7" t="s">
        <v>14</v>
      </c>
      <c r="C16" s="11" t="s">
        <v>54</v>
      </c>
      <c r="D16" s="14">
        <v>1.0486</v>
      </c>
      <c r="E16" s="6">
        <f t="shared" si="0"/>
        <v>1048.5999999999999</v>
      </c>
      <c r="F16" s="5">
        <v>142.19999999999999</v>
      </c>
      <c r="G16" s="5">
        <v>3.524308815723716E-2</v>
      </c>
      <c r="H16" s="5">
        <f t="shared" si="3"/>
        <v>5.0115671359591234</v>
      </c>
      <c r="I16" s="5">
        <f t="shared" si="2"/>
        <v>4.779293473163383E-3</v>
      </c>
      <c r="J16" s="2">
        <f>SUM(I2:I41)</f>
        <v>0.21046524613341558</v>
      </c>
      <c r="K16" s="10">
        <f t="shared" si="1"/>
        <v>2.2708231220910227</v>
      </c>
      <c r="O16" s="5"/>
    </row>
    <row r="17" spans="1:15" s="2" customFormat="1" x14ac:dyDescent="0.2">
      <c r="A17" s="5">
        <v>16</v>
      </c>
      <c r="B17" s="7" t="s">
        <v>14</v>
      </c>
      <c r="C17" s="11" t="s">
        <v>54</v>
      </c>
      <c r="D17" s="14">
        <v>1.0486</v>
      </c>
      <c r="E17" s="6">
        <f t="shared" si="0"/>
        <v>1048.5999999999999</v>
      </c>
      <c r="F17" s="5">
        <v>142.19999999999999</v>
      </c>
      <c r="G17" s="5">
        <v>0.10494641683168861</v>
      </c>
      <c r="H17" s="5">
        <f t="shared" si="3"/>
        <v>14.92338047346612</v>
      </c>
      <c r="I17" s="5">
        <f t="shared" si="2"/>
        <v>1.4231718933307382E-2</v>
      </c>
      <c r="J17" s="2">
        <f>SUM(I2:I41)</f>
        <v>0.21046524613341558</v>
      </c>
      <c r="K17" s="10">
        <f t="shared" si="1"/>
        <v>6.7620280282692296</v>
      </c>
      <c r="O17" s="5"/>
    </row>
    <row r="18" spans="1:15" s="2" customFormat="1" x14ac:dyDescent="0.2">
      <c r="A18" s="5">
        <v>17</v>
      </c>
      <c r="B18" s="7" t="s">
        <v>110</v>
      </c>
      <c r="C18" s="11" t="s">
        <v>56</v>
      </c>
      <c r="D18" s="14">
        <v>1.1930000000000001</v>
      </c>
      <c r="E18" s="6">
        <f t="shared" si="0"/>
        <v>1193</v>
      </c>
      <c r="F18" s="5">
        <v>84.07</v>
      </c>
      <c r="G18" s="5">
        <v>9.6109887739582716E-3</v>
      </c>
      <c r="H18" s="5">
        <f t="shared" si="3"/>
        <v>0.80799582622667188</v>
      </c>
      <c r="I18" s="5">
        <f t="shared" si="2"/>
        <v>6.7728065903325391E-4</v>
      </c>
      <c r="J18" s="2">
        <f>SUM(I2:I41)</f>
        <v>0.21046524613341558</v>
      </c>
      <c r="K18" s="10">
        <f t="shared" si="1"/>
        <v>0.32180166154554579</v>
      </c>
      <c r="O18" s="5"/>
    </row>
    <row r="19" spans="1:15" s="2" customFormat="1" x14ac:dyDescent="0.2">
      <c r="A19" s="5">
        <v>18</v>
      </c>
      <c r="B19" s="7" t="s">
        <v>19</v>
      </c>
      <c r="C19" s="11" t="s">
        <v>57</v>
      </c>
      <c r="D19" s="14">
        <v>1.2250000000000001</v>
      </c>
      <c r="E19" s="6">
        <f t="shared" si="0"/>
        <v>1225</v>
      </c>
      <c r="F19" s="5">
        <v>112.13</v>
      </c>
      <c r="G19" s="5">
        <v>1.7817888022018953E-2</v>
      </c>
      <c r="H19" s="5">
        <f t="shared" si="3"/>
        <v>1.9979197839089851</v>
      </c>
      <c r="I19" s="5">
        <f t="shared" si="2"/>
        <v>1.6309549256399878E-3</v>
      </c>
      <c r="J19" s="2">
        <f>SUM(I2:I41)</f>
        <v>0.21046524613341558</v>
      </c>
      <c r="K19" s="10">
        <f t="shared" si="1"/>
        <v>0.77492838157522337</v>
      </c>
      <c r="O19" s="5"/>
    </row>
    <row r="20" spans="1:15" s="2" customFormat="1" x14ac:dyDescent="0.2">
      <c r="A20" s="5">
        <v>19</v>
      </c>
      <c r="B20" s="7" t="s">
        <v>20</v>
      </c>
      <c r="C20" s="11" t="s">
        <v>58</v>
      </c>
      <c r="D20" s="14">
        <v>1.27</v>
      </c>
      <c r="E20" s="6">
        <f t="shared" si="0"/>
        <v>1270</v>
      </c>
      <c r="F20" s="5">
        <v>256.25</v>
      </c>
      <c r="G20" s="5">
        <v>5.6351429373884335E-2</v>
      </c>
      <c r="H20" s="5">
        <f t="shared" si="3"/>
        <v>14.440053777057861</v>
      </c>
      <c r="I20" s="5">
        <f t="shared" si="2"/>
        <v>1.1370121084297528E-2</v>
      </c>
      <c r="J20" s="2">
        <f>SUM(I2:I41)</f>
        <v>0.21046524613341558</v>
      </c>
      <c r="K20" s="10">
        <f t="shared" si="1"/>
        <v>5.4023746405570066</v>
      </c>
      <c r="O20" s="5"/>
    </row>
    <row r="21" spans="1:15" s="2" customFormat="1" x14ac:dyDescent="0.2">
      <c r="A21" s="5">
        <v>20</v>
      </c>
      <c r="B21" s="7" t="s">
        <v>21</v>
      </c>
      <c r="C21" s="11" t="s">
        <v>59</v>
      </c>
      <c r="D21" s="14">
        <v>1.1287</v>
      </c>
      <c r="E21" s="6">
        <f t="shared" si="0"/>
        <v>1128.7</v>
      </c>
      <c r="F21" s="5">
        <v>124.14</v>
      </c>
      <c r="G21" s="5">
        <v>2.8910853187180112E-2</v>
      </c>
      <c r="H21" s="5">
        <f t="shared" si="3"/>
        <v>3.5889933146565389</v>
      </c>
      <c r="I21" s="5">
        <f t="shared" si="2"/>
        <v>3.1797584075985989E-3</v>
      </c>
      <c r="J21" s="2">
        <f>SUM(I2:I41)</f>
        <v>0.21046524613341558</v>
      </c>
      <c r="K21" s="10">
        <f t="shared" si="1"/>
        <v>1.5108235046003391</v>
      </c>
      <c r="O21" s="5"/>
    </row>
    <row r="22" spans="1:15" s="2" customFormat="1" x14ac:dyDescent="0.2">
      <c r="A22" s="5">
        <v>21</v>
      </c>
      <c r="B22" s="7" t="s">
        <v>22</v>
      </c>
      <c r="C22" s="11" t="s">
        <v>60</v>
      </c>
      <c r="D22" s="14">
        <v>1.0789</v>
      </c>
      <c r="E22" s="6">
        <f t="shared" si="0"/>
        <v>1078.8999999999999</v>
      </c>
      <c r="F22" s="5">
        <v>138.16</v>
      </c>
      <c r="G22" s="5">
        <v>0.12188286986208768</v>
      </c>
      <c r="H22" s="5">
        <f t="shared" si="3"/>
        <v>16.839337300146035</v>
      </c>
      <c r="I22" s="5">
        <f t="shared" si="2"/>
        <v>1.5607875892247694E-2</v>
      </c>
      <c r="J22" s="2">
        <f>SUM(I2:I41)</f>
        <v>0.21046524613341558</v>
      </c>
      <c r="K22" s="10">
        <f t="shared" si="1"/>
        <v>7.4158922572678527</v>
      </c>
      <c r="O22" s="5"/>
    </row>
    <row r="23" spans="1:15" s="2" customFormat="1" x14ac:dyDescent="0.2">
      <c r="A23" s="5">
        <v>22</v>
      </c>
      <c r="B23" s="7" t="s">
        <v>24</v>
      </c>
      <c r="C23" s="11" t="s">
        <v>62</v>
      </c>
      <c r="D23" s="14">
        <v>1.0509999999999999</v>
      </c>
      <c r="E23" s="6">
        <f t="shared" si="0"/>
        <v>1051</v>
      </c>
      <c r="F23" s="5">
        <v>152.19</v>
      </c>
      <c r="G23" s="5">
        <v>5.3686307572910728E-2</v>
      </c>
      <c r="H23" s="5">
        <f t="shared" si="3"/>
        <v>8.170519149521283</v>
      </c>
      <c r="I23" s="5">
        <f t="shared" si="2"/>
        <v>7.7740429586310974E-3</v>
      </c>
      <c r="J23" s="2">
        <f>SUM(I2:I41)</f>
        <v>0.21046524613341558</v>
      </c>
      <c r="K23" s="10">
        <f t="shared" si="1"/>
        <v>3.6937418891967897</v>
      </c>
      <c r="O23" s="5"/>
    </row>
    <row r="24" spans="1:15" x14ac:dyDescent="0.2">
      <c r="A24" s="5">
        <v>23</v>
      </c>
      <c r="B24" s="5" t="s">
        <v>25</v>
      </c>
      <c r="C24" s="11" t="s">
        <v>63</v>
      </c>
      <c r="D24" s="14">
        <v>1.0185</v>
      </c>
      <c r="E24" s="6">
        <f t="shared" si="0"/>
        <v>1018.5</v>
      </c>
      <c r="F24" s="5">
        <v>108.14</v>
      </c>
      <c r="G24" s="5">
        <v>1.9825934643227128E-2</v>
      </c>
      <c r="H24" s="5">
        <f t="shared" si="3"/>
        <v>2.1439765723185817</v>
      </c>
      <c r="I24" s="5">
        <f t="shared" si="2"/>
        <v>2.1050334534301243E-3</v>
      </c>
      <c r="J24" s="2">
        <f>SUM(I2:I41)</f>
        <v>0.21046524613341558</v>
      </c>
      <c r="K24" s="10">
        <f t="shared" si="1"/>
        <v>1.0001810237571134</v>
      </c>
    </row>
    <row r="25" spans="1:15" x14ac:dyDescent="0.2">
      <c r="A25" s="5">
        <v>24</v>
      </c>
      <c r="B25" s="7" t="s">
        <v>111</v>
      </c>
      <c r="C25" s="11" t="s">
        <v>101</v>
      </c>
      <c r="D25" s="14">
        <v>0.83399999999999996</v>
      </c>
      <c r="E25" s="6">
        <f t="shared" si="0"/>
        <v>834</v>
      </c>
      <c r="F25" s="5">
        <v>140.22</v>
      </c>
      <c r="G25" s="5">
        <v>1.9145715966183988E-2</v>
      </c>
      <c r="H25" s="5">
        <f t="shared" si="3"/>
        <v>2.6846122927783189</v>
      </c>
      <c r="I25" s="5">
        <f t="shared" si="2"/>
        <v>3.2189595836670491E-3</v>
      </c>
      <c r="J25" s="2">
        <f>SUM(I2:I41)</f>
        <v>0.21046524613341558</v>
      </c>
      <c r="K25" s="10">
        <f t="shared" si="1"/>
        <v>1.5294494662679488</v>
      </c>
    </row>
    <row r="26" spans="1:15" x14ac:dyDescent="0.2">
      <c r="A26" s="5">
        <v>25</v>
      </c>
      <c r="B26" s="7" t="s">
        <v>28</v>
      </c>
      <c r="C26" s="12" t="s">
        <v>64</v>
      </c>
      <c r="D26" s="17">
        <v>0.95669999999999999</v>
      </c>
      <c r="E26" s="6">
        <f t="shared" si="0"/>
        <v>956.7</v>
      </c>
      <c r="F26" s="5">
        <v>166.22</v>
      </c>
      <c r="G26" s="5">
        <v>0.10641346701748866</v>
      </c>
      <c r="H26" s="5">
        <f t="shared" si="3"/>
        <v>17.688046487646965</v>
      </c>
      <c r="I26" s="5">
        <f t="shared" si="2"/>
        <v>1.8488602997435939E-2</v>
      </c>
      <c r="J26" s="2">
        <f>SUM(I2:I41)</f>
        <v>0.21046524613341558</v>
      </c>
      <c r="K26" s="10">
        <f t="shared" si="1"/>
        <v>8.7846346782194473</v>
      </c>
    </row>
    <row r="27" spans="1:15" x14ac:dyDescent="0.2">
      <c r="A27" s="5">
        <v>26</v>
      </c>
      <c r="B27" s="7" t="s">
        <v>26</v>
      </c>
      <c r="C27" s="11" t="s">
        <v>65</v>
      </c>
      <c r="D27" s="14">
        <v>1.0664</v>
      </c>
      <c r="E27" s="6">
        <f t="shared" si="0"/>
        <v>1066.4000000000001</v>
      </c>
      <c r="F27" s="5">
        <v>164.2</v>
      </c>
      <c r="G27" s="5">
        <v>2.7653448397332667E-2</v>
      </c>
      <c r="H27" s="5">
        <f t="shared" si="3"/>
        <v>4.5406962268420239</v>
      </c>
      <c r="I27" s="5">
        <f t="shared" si="2"/>
        <v>4.2579672044655136E-3</v>
      </c>
      <c r="J27" s="2">
        <f>SUM(I2:I41)</f>
        <v>0.21046524613341558</v>
      </c>
      <c r="K27" s="10">
        <f t="shared" si="1"/>
        <v>2.0231212908977643</v>
      </c>
    </row>
    <row r="28" spans="1:15" x14ac:dyDescent="0.2">
      <c r="A28" s="5">
        <v>27</v>
      </c>
      <c r="B28" s="7" t="s">
        <v>91</v>
      </c>
      <c r="C28" s="11" t="s">
        <v>102</v>
      </c>
      <c r="D28" s="14">
        <v>0.874</v>
      </c>
      <c r="E28" s="6">
        <f t="shared" si="0"/>
        <v>874</v>
      </c>
      <c r="F28" s="5">
        <v>144.21</v>
      </c>
      <c r="G28" s="5">
        <v>3.8522718665798095E-2</v>
      </c>
      <c r="H28" s="5">
        <f t="shared" si="3"/>
        <v>5.5553612587947434</v>
      </c>
      <c r="I28" s="5">
        <f t="shared" si="2"/>
        <v>6.3562485798566862E-3</v>
      </c>
      <c r="J28" s="2">
        <f>SUM(I2:I41)</f>
        <v>0.21046524613341558</v>
      </c>
      <c r="K28" s="10">
        <f t="shared" si="1"/>
        <v>3.0200941469583107</v>
      </c>
    </row>
    <row r="29" spans="1:15" x14ac:dyDescent="0.2">
      <c r="A29" s="5">
        <v>28</v>
      </c>
      <c r="B29" s="7" t="s">
        <v>29</v>
      </c>
      <c r="C29" s="11" t="s">
        <v>67</v>
      </c>
      <c r="D29" s="14">
        <v>1.089</v>
      </c>
      <c r="E29" s="6">
        <f t="shared" si="0"/>
        <v>1089</v>
      </c>
      <c r="F29" s="5">
        <v>150.16999999999999</v>
      </c>
      <c r="G29" s="5">
        <v>2.6629823209158684E-2</v>
      </c>
      <c r="H29" s="5">
        <f t="shared" si="3"/>
        <v>3.9990005513193592</v>
      </c>
      <c r="I29" s="5">
        <f t="shared" si="2"/>
        <v>3.6721768148019829E-3</v>
      </c>
      <c r="J29" s="2">
        <f>SUM(I2:I41)</f>
        <v>0.21046524613341558</v>
      </c>
      <c r="K29" s="10">
        <f t="shared" si="1"/>
        <v>1.7447901172596263</v>
      </c>
    </row>
    <row r="30" spans="1:15" x14ac:dyDescent="0.2">
      <c r="A30" s="5">
        <v>29</v>
      </c>
      <c r="B30" s="7" t="s">
        <v>112</v>
      </c>
      <c r="C30" s="12" t="s">
        <v>103</v>
      </c>
      <c r="D30" s="17">
        <v>1.024</v>
      </c>
      <c r="E30" s="6">
        <f t="shared" si="0"/>
        <v>1024</v>
      </c>
      <c r="F30" s="5">
        <v>226.26</v>
      </c>
      <c r="G30" s="5">
        <v>6.0738619185329294E-2</v>
      </c>
      <c r="H30" s="5">
        <f t="shared" si="3"/>
        <v>13.742719976872605</v>
      </c>
      <c r="I30" s="5">
        <f t="shared" si="2"/>
        <v>1.3420624977414653E-2</v>
      </c>
      <c r="J30" s="2">
        <f>SUM(I2:I41)</f>
        <v>0.21046524613341558</v>
      </c>
      <c r="K30" s="10">
        <f t="shared" si="1"/>
        <v>6.3766466074437842</v>
      </c>
    </row>
    <row r="31" spans="1:15" x14ac:dyDescent="0.2">
      <c r="A31" s="5">
        <v>30</v>
      </c>
      <c r="B31" s="7" t="s">
        <v>113</v>
      </c>
      <c r="C31" s="11" t="s">
        <v>70</v>
      </c>
      <c r="D31" s="14">
        <v>1.0869</v>
      </c>
      <c r="E31" s="6">
        <f t="shared" si="0"/>
        <v>1086.9000000000001</v>
      </c>
      <c r="F31" s="5">
        <v>164.2</v>
      </c>
      <c r="G31" s="5">
        <v>0</v>
      </c>
      <c r="H31" s="5">
        <f t="shared" si="3"/>
        <v>0</v>
      </c>
      <c r="I31" s="5">
        <f t="shared" si="2"/>
        <v>0</v>
      </c>
      <c r="J31" s="2">
        <f>SUM(I2:I41)</f>
        <v>0.21046524613341558</v>
      </c>
      <c r="K31" s="10">
        <f t="shared" si="1"/>
        <v>0</v>
      </c>
    </row>
    <row r="32" spans="1:15" x14ac:dyDescent="0.2">
      <c r="A32" s="5">
        <v>31</v>
      </c>
      <c r="B32" s="7" t="s">
        <v>34</v>
      </c>
      <c r="C32" s="11" t="s">
        <v>71</v>
      </c>
      <c r="D32" s="14">
        <v>1.0349999999999999</v>
      </c>
      <c r="E32" s="6">
        <f t="shared" si="0"/>
        <v>1035</v>
      </c>
      <c r="F32" s="5">
        <v>154.16</v>
      </c>
      <c r="G32" s="5">
        <v>0</v>
      </c>
      <c r="H32" s="5">
        <f t="shared" si="3"/>
        <v>0</v>
      </c>
      <c r="I32" s="5">
        <f t="shared" si="2"/>
        <v>0</v>
      </c>
      <c r="J32" s="2">
        <f>SUM(I2:I41)</f>
        <v>0.21046524613341558</v>
      </c>
      <c r="K32" s="10">
        <f t="shared" si="1"/>
        <v>0</v>
      </c>
    </row>
    <row r="33" spans="1:11" x14ac:dyDescent="0.2">
      <c r="A33" s="5">
        <v>32</v>
      </c>
      <c r="B33" s="7" t="s">
        <v>92</v>
      </c>
      <c r="C33" s="11" t="s">
        <v>104</v>
      </c>
      <c r="D33" s="14">
        <v>0.89100000000000001</v>
      </c>
      <c r="E33" s="6">
        <f t="shared" si="0"/>
        <v>891</v>
      </c>
      <c r="F33" s="5">
        <v>132.19999999999999</v>
      </c>
      <c r="G33" s="5">
        <v>0.11305830773233892</v>
      </c>
      <c r="H33" s="5">
        <f t="shared" si="3"/>
        <v>14.946308282215204</v>
      </c>
      <c r="I33" s="5">
        <f t="shared" si="2"/>
        <v>1.6774756770162966E-2</v>
      </c>
      <c r="J33" s="2">
        <f>SUM(I2:I41)</f>
        <v>0.21046524613341558</v>
      </c>
      <c r="K33" s="10">
        <f t="shared" si="1"/>
        <v>7.9703215035936692</v>
      </c>
    </row>
    <row r="34" spans="1:11" x14ac:dyDescent="0.2">
      <c r="A34" s="5">
        <v>33</v>
      </c>
      <c r="B34" s="7" t="s">
        <v>37</v>
      </c>
      <c r="C34" s="11" t="s">
        <v>75</v>
      </c>
      <c r="D34" s="14">
        <v>1.1379999999999999</v>
      </c>
      <c r="E34" s="6">
        <f t="shared" si="0"/>
        <v>1138</v>
      </c>
      <c r="F34" s="5">
        <v>180.2</v>
      </c>
      <c r="G34" s="5">
        <v>1.0205672910312628E-2</v>
      </c>
      <c r="H34" s="5">
        <f t="shared" si="3"/>
        <v>1.8390622584383354</v>
      </c>
      <c r="I34" s="5">
        <f t="shared" si="2"/>
        <v>1.6160476787683087E-3</v>
      </c>
      <c r="J34" s="2">
        <f>SUM(I2:I41)</f>
        <v>0.21046524613341558</v>
      </c>
      <c r="K34" s="10">
        <f t="shared" si="1"/>
        <v>0.76784538466929753</v>
      </c>
    </row>
    <row r="35" spans="1:11" x14ac:dyDescent="0.2">
      <c r="A35" s="5">
        <v>34</v>
      </c>
      <c r="B35" s="7" t="s">
        <v>93</v>
      </c>
      <c r="C35" s="11" t="s">
        <v>105</v>
      </c>
      <c r="D35" s="14">
        <v>1.19</v>
      </c>
      <c r="E35" s="6">
        <f t="shared" si="0"/>
        <v>1190</v>
      </c>
      <c r="F35" s="6">
        <v>86.09</v>
      </c>
      <c r="G35" s="5">
        <v>4.5124730551296018E-2</v>
      </c>
      <c r="H35" s="5">
        <f t="shared" si="3"/>
        <v>3.8847880531610741</v>
      </c>
      <c r="I35" s="5">
        <f t="shared" si="2"/>
        <v>3.2645277757656086E-3</v>
      </c>
      <c r="J35" s="2">
        <f>SUM(I2:I41)</f>
        <v>0.21046524613341558</v>
      </c>
      <c r="K35" s="10">
        <f t="shared" si="1"/>
        <v>1.5511006381054471</v>
      </c>
    </row>
    <row r="36" spans="1:11" x14ac:dyDescent="0.2">
      <c r="A36" s="5">
        <v>35</v>
      </c>
      <c r="B36" s="7" t="s">
        <v>37</v>
      </c>
      <c r="C36" s="11" t="s">
        <v>75</v>
      </c>
      <c r="D36" s="14">
        <v>1.1379999999999999</v>
      </c>
      <c r="E36" s="6">
        <f t="shared" si="0"/>
        <v>1138</v>
      </c>
      <c r="F36" s="5">
        <v>180.2</v>
      </c>
      <c r="G36" s="5">
        <v>1.8686928337946981E-2</v>
      </c>
      <c r="H36" s="5">
        <f t="shared" si="3"/>
        <v>3.3673844864980458</v>
      </c>
      <c r="I36" s="5">
        <f t="shared" si="2"/>
        <v>2.9590373343568064E-3</v>
      </c>
      <c r="J36" s="2">
        <f>SUM(I2:I41)</f>
        <v>0.21046524613341558</v>
      </c>
      <c r="K36" s="10">
        <f t="shared" si="1"/>
        <v>1.4059505731796924</v>
      </c>
    </row>
    <row r="37" spans="1:11" x14ac:dyDescent="0.2">
      <c r="A37" s="5">
        <v>36</v>
      </c>
      <c r="B37" s="7" t="s">
        <v>39</v>
      </c>
      <c r="C37" s="11" t="s">
        <v>78</v>
      </c>
      <c r="D37" s="14">
        <v>1.1287</v>
      </c>
      <c r="E37" s="6">
        <f t="shared" si="0"/>
        <v>1128.7</v>
      </c>
      <c r="F37" s="5">
        <v>124.14</v>
      </c>
      <c r="G37" s="5">
        <v>5.0081097147761142E-2</v>
      </c>
      <c r="H37" s="5">
        <f t="shared" si="3"/>
        <v>6.2170673999230681</v>
      </c>
      <c r="I37" s="5">
        <f t="shared" si="2"/>
        <v>5.5081663860397515E-3</v>
      </c>
      <c r="J37" s="2">
        <f>SUM(I2:I41)</f>
        <v>0.21046524613341558</v>
      </c>
      <c r="K37" s="10">
        <f t="shared" si="1"/>
        <v>2.6171382150894789</v>
      </c>
    </row>
    <row r="38" spans="1:11" x14ac:dyDescent="0.2">
      <c r="A38" s="5">
        <v>37</v>
      </c>
      <c r="B38" s="7" t="s">
        <v>94</v>
      </c>
      <c r="C38" s="11" t="s">
        <v>106</v>
      </c>
      <c r="D38" s="14">
        <v>0.85270000000000001</v>
      </c>
      <c r="E38" s="6">
        <f t="shared" si="0"/>
        <v>852.7</v>
      </c>
      <c r="F38" s="5">
        <v>256.42</v>
      </c>
      <c r="G38" s="5">
        <v>4.5030797663026201E-2</v>
      </c>
      <c r="H38" s="5">
        <f t="shared" si="3"/>
        <v>11.546797136753179</v>
      </c>
      <c r="I38" s="5">
        <f t="shared" si="2"/>
        <v>1.3541453191923512E-2</v>
      </c>
      <c r="J38" s="2">
        <f>SUM(I2:I41)</f>
        <v>0.21046524613341558</v>
      </c>
      <c r="K38" s="10">
        <f t="shared" si="1"/>
        <v>6.4340566628941094</v>
      </c>
    </row>
    <row r="39" spans="1:11" x14ac:dyDescent="0.2">
      <c r="A39" s="5">
        <v>38</v>
      </c>
      <c r="B39" s="7" t="s">
        <v>41</v>
      </c>
      <c r="C39" s="11" t="s">
        <v>79</v>
      </c>
      <c r="D39" s="14">
        <v>1.2589999999999999</v>
      </c>
      <c r="E39" s="6">
        <f t="shared" si="0"/>
        <v>1259</v>
      </c>
      <c r="F39" s="5">
        <v>182.17</v>
      </c>
      <c r="G39" s="5">
        <v>0</v>
      </c>
      <c r="H39" s="5">
        <f t="shared" si="3"/>
        <v>0</v>
      </c>
      <c r="I39" s="5">
        <f t="shared" si="2"/>
        <v>0</v>
      </c>
      <c r="J39" s="2">
        <f>SUM(I2:I41)</f>
        <v>0.21046524613341558</v>
      </c>
      <c r="K39" s="10">
        <f t="shared" si="1"/>
        <v>0</v>
      </c>
    </row>
    <row r="40" spans="1:11" x14ac:dyDescent="0.2">
      <c r="A40" s="5">
        <v>39</v>
      </c>
      <c r="B40" s="7" t="s">
        <v>107</v>
      </c>
      <c r="C40" s="11" t="s">
        <v>108</v>
      </c>
      <c r="D40" s="14">
        <v>0.84099999999999997</v>
      </c>
      <c r="E40" s="6">
        <f t="shared" si="0"/>
        <v>841</v>
      </c>
      <c r="F40" s="5">
        <v>202.33</v>
      </c>
      <c r="G40" s="5">
        <v>5.0857051588662537E-3</v>
      </c>
      <c r="H40" s="5">
        <f t="shared" si="3"/>
        <v>1.0289907247934091</v>
      </c>
      <c r="I40" s="5">
        <f t="shared" si="2"/>
        <v>1.2235323719303319E-3</v>
      </c>
      <c r="J40" s="2">
        <f>SUM(I2:I41)</f>
        <v>0.21046524613341558</v>
      </c>
      <c r="K40" s="10">
        <f t="shared" si="1"/>
        <v>0.58134651416734384</v>
      </c>
    </row>
    <row r="41" spans="1:11" x14ac:dyDescent="0.2">
      <c r="A41" s="5">
        <v>40</v>
      </c>
      <c r="B41" s="7" t="s">
        <v>46</v>
      </c>
      <c r="C41" s="11" t="s">
        <v>80</v>
      </c>
      <c r="D41" s="14">
        <v>1.6879999999999999</v>
      </c>
      <c r="E41" s="6">
        <f t="shared" si="0"/>
        <v>1688</v>
      </c>
      <c r="F41" s="5">
        <v>286.24</v>
      </c>
      <c r="G41" s="5">
        <v>0</v>
      </c>
      <c r="H41" s="5">
        <f t="shared" si="3"/>
        <v>0</v>
      </c>
      <c r="I41" s="5">
        <f t="shared" si="2"/>
        <v>0</v>
      </c>
      <c r="J41" s="2">
        <f>SUM(I2:I41)</f>
        <v>0.21046524613341558</v>
      </c>
      <c r="K41" s="10">
        <f t="shared" si="1"/>
        <v>0</v>
      </c>
    </row>
    <row r="42" spans="1:11" x14ac:dyDescent="0.2">
      <c r="F42" s="1" t="s">
        <v>118</v>
      </c>
      <c r="G42" s="5">
        <f>SUM(G2:G41)</f>
        <v>1.4750345372681164</v>
      </c>
      <c r="I42" s="5">
        <f>SUM(I2:I41)</f>
        <v>0.21046524613341558</v>
      </c>
      <c r="K42" s="2">
        <f>SUM(K2:K41)</f>
        <v>100.00000000000003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MLM01</vt:lpstr>
      <vt:lpstr>MLM02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2021-10-28T11:36:50Z</dcterms:created>
  <dcterms:modified xsi:type="dcterms:W3CDTF">2021-10-29T12:32:53Z</dcterms:modified>
</cp:coreProperties>
</file>